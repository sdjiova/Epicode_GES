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"/>
    </mc:Choice>
  </mc:AlternateContent>
  <xr:revisionPtr revIDLastSave="0" documentId="13_ncr:1_{5BADECF7-EFC3-47A9-ABBC-E23BDD7255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otti" sheetId="1" r:id="rId1"/>
    <sheet name="Azienda" sheetId="2" r:id="rId2"/>
  </sheets>
  <definedNames>
    <definedName name="_xlnm._FilterDatabase" localSheetId="1" hidden="1">Azienda!$A$2:$D$2</definedName>
    <definedName name="_xlnm._FilterDatabase" localSheetId="0" hidden="1">Prodotti!$A$2:$E$2</definedName>
    <definedName name="_xlnm.Print_Area" localSheetId="1">Azienda!$A$1:$F$32</definedName>
    <definedName name="_xlnm.Print_Area" localSheetId="0">Prodotti!$A$2:$E$12,Prodotti!$A$14:$E$47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C3" i="2"/>
  <c r="C4" i="2"/>
  <c r="C5" i="2"/>
  <c r="C6" i="2"/>
  <c r="B3" i="2"/>
  <c r="B4" i="2"/>
  <c r="B5" i="2"/>
  <c r="B6" i="2"/>
  <c r="E8" i="1"/>
  <c r="E9" i="1"/>
  <c r="E12" i="1"/>
  <c r="E10" i="1"/>
  <c r="E4" i="1"/>
  <c r="E5" i="1"/>
  <c r="E7" i="1"/>
  <c r="E6" i="1"/>
  <c r="E3" i="1"/>
  <c r="E11" i="1"/>
</calcChain>
</file>

<file path=xl/sharedStrings.xml><?xml version="1.0" encoding="utf-8"?>
<sst xmlns="http://schemas.openxmlformats.org/spreadsheetml/2006/main" count="33" uniqueCount="19">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</sst>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\ &quot;€&quot;_-;\-* #,##0.0\ &quot;€&quot;_-;_-* &quot;-&quot;??\ &quot;€&quot;_-;_-@_-"/>
    <numFmt numFmtId="166" formatCode="_-* #,##0\ &quot;€&quot;_-;\-* #,##0\ &quot;€&quot;_-;_-* &quot;-&quot;?\ &quot;€&quot;_-;_-@_-"/>
    <numFmt numFmtId="167" formatCode="_-* #,##0\ &quot;€&quot;_-;\-* #,##0\ &quot;€&quot;_-;_-* &quot;-&quot;??\ &quot;€&quot;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1" applyNumberFormat="1" applyFont="1"/>
    <xf numFmtId="166" fontId="0" fillId="0" borderId="0" xfId="0" applyNumberFormat="1"/>
    <xf numFmtId="167" fontId="2" fillId="0" borderId="0" xfId="1" applyNumberFormat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Totale per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Prodotti!$E$2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Prodotti!$B$3:$B$12</c:f>
              <c:strCache>
                <c:ptCount val="10"/>
                <c:pt idx="0">
                  <c:v>Vibrazione</c:v>
                </c:pt>
                <c:pt idx="1">
                  <c:v>Crema</c:v>
                </c:pt>
                <c:pt idx="2">
                  <c:v>Acqua</c:v>
                </c:pt>
                <c:pt idx="3">
                  <c:v>Pianeta</c:v>
                </c:pt>
                <c:pt idx="4">
                  <c:v>Orizzonte</c:v>
                </c:pt>
                <c:pt idx="5">
                  <c:v>Cibo</c:v>
                </c:pt>
                <c:pt idx="6">
                  <c:v>Pannelli</c:v>
                </c:pt>
                <c:pt idx="7">
                  <c:v>Infinito</c:v>
                </c:pt>
                <c:pt idx="8">
                  <c:v>Tecnologia</c:v>
                </c:pt>
                <c:pt idx="9">
                  <c:v>Quanti</c:v>
                </c:pt>
              </c:strCache>
            </c:strRef>
          </c:cat>
          <c:val>
            <c:numRef>
              <c:f>Prodotti!$E$3:$E$12</c:f>
              <c:numCache>
                <c:formatCode>_-* #,##0\ "€"_-;\-* #,##0\ "€"_-;_-* "-"?\ "€"_-;_-@_-</c:formatCode>
                <c:ptCount val="10"/>
                <c:pt idx="0">
                  <c:v>13500</c:v>
                </c:pt>
                <c:pt idx="1">
                  <c:v>13125</c:v>
                </c:pt>
                <c:pt idx="2">
                  <c:v>12600</c:v>
                </c:pt>
                <c:pt idx="3">
                  <c:v>12000</c:v>
                </c:pt>
                <c:pt idx="4">
                  <c:v>11550</c:v>
                </c:pt>
                <c:pt idx="5">
                  <c:v>10200</c:v>
                </c:pt>
                <c:pt idx="6">
                  <c:v>9800</c:v>
                </c:pt>
                <c:pt idx="7">
                  <c:v>9750</c:v>
                </c:pt>
                <c:pt idx="8">
                  <c:v>7875</c:v>
                </c:pt>
                <c:pt idx="9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F-46E5-A77F-75F6CA49BA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41416176"/>
        <c:axId val="1541420976"/>
      </c:barChart>
      <c:catAx>
        <c:axId val="15414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541420976"/>
        <c:crosses val="autoZero"/>
        <c:auto val="1"/>
        <c:lblAlgn val="ctr"/>
        <c:lblOffset val="100"/>
        <c:noMultiLvlLbl val="0"/>
      </c:catAx>
      <c:valAx>
        <c:axId val="1541420976"/>
        <c:scaling>
          <c:orientation val="minMax"/>
        </c:scaling>
        <c:delete val="0"/>
        <c:axPos val="l"/>
        <c:numFmt formatCode="_-* #,##0\ &quot;€&quot;_-;\-* #,##0\ &quot;€&quot;_-;_-* &quot;-&quot;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54141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Totale</a:t>
            </a:r>
            <a:r>
              <a:rPr lang="en-US" baseline="0"/>
              <a:t> per prodotto</a:t>
            </a:r>
            <a:endParaRPr lang="en-US"/>
          </a:p>
        </c:rich>
      </c:tx>
      <c:layout>
        <c:manualLayout>
          <c:xMode val="edge"/>
          <c:yMode val="edge"/>
          <c:x val="0.34608984420361222"/>
          <c:y val="3.56554657267099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Prodotti!$E$2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Prodotti!$B$3:$B$12</c:f>
              <c:strCache>
                <c:ptCount val="10"/>
                <c:pt idx="0">
                  <c:v>Vibrazione</c:v>
                </c:pt>
                <c:pt idx="1">
                  <c:v>Crema</c:v>
                </c:pt>
                <c:pt idx="2">
                  <c:v>Acqua</c:v>
                </c:pt>
                <c:pt idx="3">
                  <c:v>Pianeta</c:v>
                </c:pt>
                <c:pt idx="4">
                  <c:v>Orizzonte</c:v>
                </c:pt>
                <c:pt idx="5">
                  <c:v>Cibo</c:v>
                </c:pt>
                <c:pt idx="6">
                  <c:v>Pannelli</c:v>
                </c:pt>
                <c:pt idx="7">
                  <c:v>Infinito</c:v>
                </c:pt>
                <c:pt idx="8">
                  <c:v>Tecnologia</c:v>
                </c:pt>
                <c:pt idx="9">
                  <c:v>Quanti</c:v>
                </c:pt>
              </c:strCache>
            </c:strRef>
          </c:cat>
          <c:val>
            <c:numRef>
              <c:f>Prodotti!$E$3:$E$12</c:f>
              <c:numCache>
                <c:formatCode>_-* #,##0\ "€"_-;\-* #,##0\ "€"_-;_-* "-"?\ "€"_-;_-@_-</c:formatCode>
                <c:ptCount val="10"/>
                <c:pt idx="0">
                  <c:v>13500</c:v>
                </c:pt>
                <c:pt idx="1">
                  <c:v>13125</c:v>
                </c:pt>
                <c:pt idx="2">
                  <c:v>12600</c:v>
                </c:pt>
                <c:pt idx="3">
                  <c:v>12000</c:v>
                </c:pt>
                <c:pt idx="4">
                  <c:v>11550</c:v>
                </c:pt>
                <c:pt idx="5">
                  <c:v>10200</c:v>
                </c:pt>
                <c:pt idx="6">
                  <c:v>9800</c:v>
                </c:pt>
                <c:pt idx="7">
                  <c:v>9750</c:v>
                </c:pt>
                <c:pt idx="8">
                  <c:v>7875</c:v>
                </c:pt>
                <c:pt idx="9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9-4C30-B5B2-951481BC0D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Totale per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Azienda!$D$2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Azienda!$D$3:$D$6</c:f>
              <c:numCache>
                <c:formatCode>General</c:formatCode>
                <c:ptCount val="4"/>
                <c:pt idx="0">
                  <c:v>37725</c:v>
                </c:pt>
                <c:pt idx="1">
                  <c:v>31100</c:v>
                </c:pt>
                <c:pt idx="2">
                  <c:v>25575</c:v>
                </c:pt>
                <c:pt idx="3">
                  <c:v>13500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Azienda!#REF!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7EC-48D0-88D2-D43A374AE4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41416176"/>
        <c:axId val="1541420976"/>
      </c:barChart>
      <c:catAx>
        <c:axId val="15414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541420976"/>
        <c:crosses val="autoZero"/>
        <c:auto val="1"/>
        <c:lblAlgn val="ctr"/>
        <c:lblOffset val="100"/>
        <c:noMultiLvlLbl val="0"/>
      </c:catAx>
      <c:valAx>
        <c:axId val="154142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54141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  per prodotto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Azienda!$D$2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Azienda!$A$3:$A$6</c:f>
              <c:strCache>
                <c:ptCount val="4"/>
                <c:pt idx="0">
                  <c:v>AquaLux Dynamics</c:v>
                </c:pt>
                <c:pt idx="1">
                  <c:v>SolarTech Solutions</c:v>
                </c:pt>
                <c:pt idx="2">
                  <c:v>Tech Innovations Ltd.</c:v>
                </c:pt>
                <c:pt idx="3">
                  <c:v>EcoVibe Solutions</c:v>
                </c:pt>
              </c:strCache>
            </c:strRef>
          </c:cat>
          <c:val>
            <c:numRef>
              <c:f>Azienda!$D$3:$D$6</c:f>
              <c:numCache>
                <c:formatCode>_-* #,##0\ "€"_-;\-* #,##0\ "€"_-;_-* "-"??\ "€"_-;_-@_-</c:formatCode>
                <c:ptCount val="4"/>
                <c:pt idx="0">
                  <c:v>37725</c:v>
                </c:pt>
                <c:pt idx="1">
                  <c:v>31100</c:v>
                </c:pt>
                <c:pt idx="2">
                  <c:v>25575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7-4CC1-9DAD-0AE4FE693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104100</xdr:colOff>
      <xdr:row>14</xdr:row>
      <xdr:rowOff>170600</xdr:rowOff>
    </xdr:from>
    <xdr:to>
      <xdr:col>4</xdr:col>
      <xdr:colOff>648064</xdr:colOff>
      <xdr:row>30</xdr:row>
      <xdr:rowOff>94378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55799BD-FC05-396E-260A-3392E28ED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102281</xdr:colOff>
      <xdr:row>32</xdr:row>
      <xdr:rowOff>126034</xdr:rowOff>
    </xdr:from>
    <xdr:to>
      <xdr:col>4</xdr:col>
      <xdr:colOff>610245</xdr:colOff>
      <xdr:row>46</xdr:row>
      <xdr:rowOff>86277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EC1CCC4-CBF8-28C0-8C21-2CF81FF4F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93893</xdr:rowOff>
    </xdr:from>
    <xdr:to>
      <xdr:col>4</xdr:col>
      <xdr:colOff>596900</xdr:colOff>
      <xdr:row>10</xdr:row>
      <xdr:rowOff>55771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23CA6CC-7E91-4454-AE16-B0BF18B00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8031</xdr:colOff>
      <xdr:row>11</xdr:row>
      <xdr:rowOff>83298</xdr:rowOff>
    </xdr:from>
    <xdr:to>
      <xdr:col>4</xdr:col>
      <xdr:colOff>650875</xdr:colOff>
      <xdr:row>27</xdr:row>
      <xdr:rowOff>22039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37B359A-5115-03EE-8C9D-A5A17882D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Z12"/>
  <sheetViews>
    <sheetView tabSelected="1" zoomScale="70" zoomScaleNormal="70" zoomScaleSheetLayoutView="70" workbookViewId="0">
      <selection activeCell="B69" sqref="B69"/>
    </sheetView>
  </sheetViews>
  <sheetFormatPr defaultColWidth="12.6328125" defaultRowHeight="15.75" customHeight="1" x14ac:dyDescent="0.25"/>
  <cols>
    <col min="1" max="1" width="19.7265625" customWidth="1"/>
    <col min="2" max="2" width="22.36328125" customWidth="1"/>
    <col min="3" max="5" width="12.08984375" customWidth="1"/>
  </cols>
  <sheetData>
    <row r="2" spans="1:26" ht="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" t="s">
        <v>17</v>
      </c>
      <c r="B3" s="2" t="s">
        <v>18</v>
      </c>
      <c r="C3" s="2">
        <v>1000</v>
      </c>
      <c r="D3" s="3">
        <v>13.5</v>
      </c>
      <c r="E3" s="4">
        <f>+C3*D3</f>
        <v>13500</v>
      </c>
    </row>
    <row r="4" spans="1:26" ht="15.75" customHeight="1" x14ac:dyDescent="0.25">
      <c r="A4" s="2" t="s">
        <v>12</v>
      </c>
      <c r="B4" s="2" t="s">
        <v>13</v>
      </c>
      <c r="C4" s="2">
        <v>700</v>
      </c>
      <c r="D4" s="3">
        <v>18.75</v>
      </c>
      <c r="E4" s="4">
        <f>+C4*D4</f>
        <v>13125</v>
      </c>
    </row>
    <row r="5" spans="1:26" ht="15.75" customHeight="1" x14ac:dyDescent="0.25">
      <c r="A5" s="2" t="s">
        <v>12</v>
      </c>
      <c r="B5" s="2" t="s">
        <v>14</v>
      </c>
      <c r="C5" s="2">
        <v>900</v>
      </c>
      <c r="D5" s="3">
        <v>14</v>
      </c>
      <c r="E5" s="4">
        <f>+C5*D5</f>
        <v>12600</v>
      </c>
    </row>
    <row r="6" spans="1:26" ht="15.75" customHeight="1" x14ac:dyDescent="0.25">
      <c r="A6" s="2" t="s">
        <v>12</v>
      </c>
      <c r="B6" s="2" t="s">
        <v>16</v>
      </c>
      <c r="C6" s="2">
        <v>600</v>
      </c>
      <c r="D6" s="3">
        <v>20</v>
      </c>
      <c r="E6" s="4">
        <f>+C6*D6</f>
        <v>12000</v>
      </c>
    </row>
    <row r="7" spans="1:26" ht="15.75" customHeight="1" x14ac:dyDescent="0.25">
      <c r="A7" s="2" t="s">
        <v>8</v>
      </c>
      <c r="B7" s="2" t="s">
        <v>15</v>
      </c>
      <c r="C7" s="2">
        <v>1100</v>
      </c>
      <c r="D7" s="3">
        <v>10.5</v>
      </c>
      <c r="E7" s="4">
        <f>+C7*D7</f>
        <v>11550</v>
      </c>
    </row>
    <row r="8" spans="1:26" ht="15.75" customHeight="1" x14ac:dyDescent="0.25">
      <c r="A8" s="2" t="s">
        <v>5</v>
      </c>
      <c r="B8" s="2" t="s">
        <v>7</v>
      </c>
      <c r="C8" s="2">
        <v>1200</v>
      </c>
      <c r="D8" s="3">
        <v>8.5</v>
      </c>
      <c r="E8" s="4">
        <f>+C8*D8</f>
        <v>10200</v>
      </c>
    </row>
    <row r="9" spans="1:26" ht="15.75" customHeight="1" x14ac:dyDescent="0.25">
      <c r="A9" s="2" t="s">
        <v>8</v>
      </c>
      <c r="B9" s="2" t="s">
        <v>9</v>
      </c>
      <c r="C9" s="2">
        <v>800</v>
      </c>
      <c r="D9" s="3">
        <v>12.25</v>
      </c>
      <c r="E9" s="4">
        <f>+C9*D9</f>
        <v>9800</v>
      </c>
    </row>
    <row r="10" spans="1:26" ht="15.75" customHeight="1" x14ac:dyDescent="0.25">
      <c r="A10" s="2" t="s">
        <v>8</v>
      </c>
      <c r="B10" s="2" t="s">
        <v>11</v>
      </c>
      <c r="C10" s="2">
        <v>1500</v>
      </c>
      <c r="D10" s="3">
        <v>6.5</v>
      </c>
      <c r="E10" s="4">
        <f>+C10*D10</f>
        <v>9750</v>
      </c>
    </row>
    <row r="11" spans="1:26" ht="15.75" customHeight="1" x14ac:dyDescent="0.25">
      <c r="A11" s="2" t="s">
        <v>5</v>
      </c>
      <c r="B11" s="2" t="s">
        <v>6</v>
      </c>
      <c r="C11" s="2">
        <v>500</v>
      </c>
      <c r="D11" s="3">
        <v>15.75</v>
      </c>
      <c r="E11" s="4">
        <f>+C11*D11</f>
        <v>7875</v>
      </c>
    </row>
    <row r="12" spans="1:26" ht="15.75" customHeight="1" x14ac:dyDescent="0.25">
      <c r="A12" s="2" t="s">
        <v>5</v>
      </c>
      <c r="B12" s="2" t="s">
        <v>10</v>
      </c>
      <c r="C12" s="2">
        <v>300</v>
      </c>
      <c r="D12" s="3">
        <v>25</v>
      </c>
      <c r="E12" s="4">
        <f>+C12*D12</f>
        <v>7500</v>
      </c>
    </row>
  </sheetData>
  <autoFilter ref="A2:E2" xr:uid="{00000000-0001-0000-0000-000000000000}">
    <sortState xmlns:xlrd2="http://schemas.microsoft.com/office/spreadsheetml/2017/richdata2" ref="A3:E12">
      <sortCondition descending="1" ref="E2"/>
    </sortState>
  </autoFilter>
  <printOptions headings="1"/>
  <pageMargins left="0.19685039370078741" right="0.19685039370078741" top="0.39370078740157483" bottom="0.55118110236220474" header="0.31496062992125984" footer="0.31496062992125984"/>
  <pageSetup paperSize="9" orientation="portrait" verticalDpi="0" r:id="rId1"/>
  <headerFooter differentOddEven="1" differentFirst="1">
    <oddHeader>&amp;LTotale per prodotto</oddHeader>
    <oddFooter>&amp;L3&amp;R&amp;D</oddFooter>
    <evenHeader>&amp;LTotale per prodotto</evenHeader>
    <evenFooter>&amp;L2&amp;R&amp;D</evenFooter>
    <firstHeader>&amp;LSpese recenti</firstHeader>
    <firstFooter>&amp;L1&amp;R&amp;D</firstFooter>
  </headerFooter>
  <rowBreaks count="2" manualBreakCount="2">
    <brk id="13" max="16383" man="1"/>
    <brk id="31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58B3-179B-408A-9F1F-0AA70A7A4261}">
  <sheetPr>
    <outlinePr summaryBelow="0" summaryRight="0"/>
  </sheetPr>
  <dimension ref="A2:Y6"/>
  <sheetViews>
    <sheetView zoomScale="85" zoomScaleNormal="85" workbookViewId="0"/>
  </sheetViews>
  <sheetFormatPr defaultColWidth="12.6328125" defaultRowHeight="15.75" customHeight="1" x14ac:dyDescent="0.25"/>
  <cols>
    <col min="1" max="1" width="19.7265625" customWidth="1"/>
    <col min="2" max="2" width="22.36328125" customWidth="1"/>
    <col min="3" max="3" width="24" customWidth="1"/>
  </cols>
  <sheetData>
    <row r="2" spans="1:25" ht="14" x14ac:dyDescent="0.3">
      <c r="A2" s="1" t="s">
        <v>0</v>
      </c>
      <c r="B2" s="1" t="s">
        <v>2</v>
      </c>
      <c r="C2" s="1" t="s">
        <v>3</v>
      </c>
      <c r="D2" s="1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2" t="s">
        <v>12</v>
      </c>
      <c r="B3" s="2">
        <f>+SUMIF(Prodotti!$A$3:$A$12,Azienda!A4,Prodotti!C$3:C$12)</f>
        <v>3400</v>
      </c>
      <c r="C3" s="2">
        <f>+SUMIF(Prodotti!$A$3:$A$12,A3,Prodotti!D$3:D$12)</f>
        <v>52.75</v>
      </c>
      <c r="D3" s="5">
        <f>+SUMIF(Prodotti!$A$3:$A$12,A3,Prodotti!E$3:E$12)</f>
        <v>37725</v>
      </c>
    </row>
    <row r="4" spans="1:25" ht="15.75" customHeight="1" x14ac:dyDescent="0.25">
      <c r="A4" s="2" t="s">
        <v>8</v>
      </c>
      <c r="B4" s="2">
        <f>+SUMIF(Prodotti!$A$3:$A$12,Azienda!A5,Prodotti!C$3:C$12)</f>
        <v>2000</v>
      </c>
      <c r="C4" s="2">
        <f>+SUMIF(Prodotti!$A$3:$A$12,A4,Prodotti!D$3:D$12)</f>
        <v>29.25</v>
      </c>
      <c r="D4" s="5">
        <f>+SUMIF(Prodotti!$A$3:$A$12,A4,Prodotti!E$3:E$12)</f>
        <v>31100</v>
      </c>
    </row>
    <row r="5" spans="1:25" ht="15.75" customHeight="1" x14ac:dyDescent="0.25">
      <c r="A5" s="2" t="s">
        <v>5</v>
      </c>
      <c r="B5" s="2">
        <f>+SUMIF(Prodotti!$A$3:$A$12,Azienda!A6,Prodotti!C$3:C$12)</f>
        <v>1000</v>
      </c>
      <c r="C5" s="2">
        <f>+SUMIF(Prodotti!$A$3:$A$12,A5,Prodotti!D$3:D$12)</f>
        <v>49.25</v>
      </c>
      <c r="D5" s="5">
        <f>+SUMIF(Prodotti!$A$3:$A$12,A5,Prodotti!E$3:E$12)</f>
        <v>25575</v>
      </c>
    </row>
    <row r="6" spans="1:25" ht="15.75" customHeight="1" x14ac:dyDescent="0.25">
      <c r="A6" s="2" t="s">
        <v>17</v>
      </c>
      <c r="B6" s="2">
        <f>+SUMIF(Prodotti!$A$3:$A$12,Azienda!A3,Prodotti!C$3:C$12)</f>
        <v>2200</v>
      </c>
      <c r="C6" s="2">
        <f>+SUMIF(Prodotti!$A$3:$A$12,A6,Prodotti!D$3:D$12)</f>
        <v>13.5</v>
      </c>
      <c r="D6" s="5">
        <f>+SUMIF(Prodotti!$A$3:$A$12,A6,Prodotti!E$3:E$12)</f>
        <v>13500</v>
      </c>
    </row>
  </sheetData>
  <autoFilter ref="A2:D6" xr:uid="{00000000-0001-0000-0000-000000000000}">
    <sortState xmlns:xlrd2="http://schemas.microsoft.com/office/spreadsheetml/2017/richdata2" ref="A3:D6">
      <sortCondition descending="1" ref="D2:D6"/>
    </sortState>
  </autoFilter>
  <pageMargins left="0.19685039370078741" right="0.19685039370078741" top="0.39370078740157483" bottom="0.55118110236220474" header="0.31496062992125984" footer="0.31496062992125984"/>
  <pageSetup paperSize="9" orientation="portrait" verticalDpi="0" r:id="rId1"/>
  <headerFooter>
    <oddHeader xml:space="preserve">&amp;LGrafici aziende
</oddHeader>
    <oddFooter>&amp;L&amp;P&amp;R&amp;D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Prodotti</vt:lpstr>
      <vt:lpstr>Azienda</vt:lpstr>
      <vt:lpstr>Azienda!Area_stampa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Nomisma</cp:lastModifiedBy>
  <cp:lastPrinted>2026-02-18T16:15:42Z</cp:lastPrinted>
  <dcterms:modified xsi:type="dcterms:W3CDTF">2026-02-18T16:25:46Z</dcterms:modified>
</cp:coreProperties>
</file>