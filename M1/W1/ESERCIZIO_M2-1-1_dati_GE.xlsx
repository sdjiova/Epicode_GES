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719FA2FB-F9B2-4A4D-A2A5-4EF97E182849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Assoluti_Iva" sheetId="1" r:id="rId1"/>
    <sheet name="Giudizio" sheetId="2" r:id="rId2"/>
    <sheet name="Legenda_Giudizi" sheetId="4" state="veryHidden" r:id="rId3"/>
    <sheet name="Fatture" sheetId="3" r:id="rId4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2" i="3" l="1"/>
  <c r="H23" i="3"/>
  <c r="H24" i="3"/>
  <c r="H25" i="3"/>
  <c r="H26" i="3"/>
  <c r="H27" i="3"/>
  <c r="H21" i="3"/>
  <c r="H14" i="3"/>
  <c r="H15" i="3"/>
  <c r="H16" i="3"/>
  <c r="H13" i="3"/>
  <c r="H3" i="3"/>
  <c r="H4" i="3"/>
  <c r="H5" i="3"/>
  <c r="H6" i="3"/>
  <c r="H7" i="3"/>
  <c r="H8" i="3"/>
  <c r="H2" i="3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<sst xmlns="http://schemas.openxmlformats.org/spreadsheetml/2006/main" count="831" uniqueCount="580">
  <si>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</si>
  <si>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</si>
  <si>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</si>
  <si>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</si>
  <si>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</si>
  <si>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</si>
  <si>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</si>
  <si>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</si>
  <si>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</si>
  <si>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</si>
  <si>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</si>
  <si>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</si>
  <si>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</si>
  <si>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</si>
  <si>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</si>
  <si>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</si>
  <si>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</si>
  <si>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</si>
  <si>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</si>
  <si>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</si>
  <si>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</si>
  <si>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</si>
  <si>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</si>
  <si>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</si>
  <si>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</si>
  <si>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</si>
  <si>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</si>
  <si>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</si>
  <si>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</si>
  <si>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</si>
  <si>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</si>
  <si>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</si>
  <si>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</si>
  <si>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</si>
  <si>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</si>
  <si>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</si>
  <si>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</si>
  <si>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</si>
  <si>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</si>
  <si>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</si>
  <si>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</si>
  <si>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</si>
  <si>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</si>
  <si>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</si>
  <si>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</si>
  <si>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</si>
  <si>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</si>
  <si>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</si>
  <si>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</si>
  <si>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</si>
  <si>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</si>
  <si>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</si>
  <si>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</si>
  <si>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</si>
  <si>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</si>
  <si>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</si>
  <si>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</si>
  <si>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</si>
  <si>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</si>
  <si>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</si>
  <si>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</si>
  <si>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</si>
  <si>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</si>
  <si>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</si>
  <si>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</si>
  <si>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</si>
  <si>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</si>
  <si>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</si>
  <si>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</si>
  <si>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</si>
  <si>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</si>
  <si>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</si>
  <si>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</si>
  <si>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</si>
  <si>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</si>
  <si>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</si>
  <si>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</si>
  <si>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</si>
  <si>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</si>
  <si>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</si>
  <si>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</si>
  <si>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</si>
  <si>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</si>
  <si>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</si>
  <si>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</si>
  <si>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</si>
  <si>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</si>
  <si>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</si>
  <si>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</si>
  <si>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</si>
  <si>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</si>
  <si>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</si>
  <si>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</si>
  <si>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</si>
  <si>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</si>
  <si>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</si>
  <si>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</si>
  <si>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</si>
  <si>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</si>
  <si>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</si>
  <si>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</si>
  <si>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</si>
  <si>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</si>
  <si>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</si>
  <si>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</si>
  <si>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</si>
  <si>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</si>
  <si>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</si>
  <si>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</si>
  <si>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</si>
  <si>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</si>
  <si>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</si>
  <si>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</si>
  <si>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</si>
  <si>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</si>
  <si>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</si>
  <si>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</si>
  <si>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</si>
  <si>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</si>
  <si>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</si>
  <si>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</si>
  <si>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</si>
  <si>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</si>
  <si>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</si>
  <si>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</si>
  <si>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</si>
  <si>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</si>
  <si>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</si>
  <si>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</si>
  <si>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</si>
  <si>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</si>
  <si>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</si>
  <si>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</si>
  <si>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</si>
  <si>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</si>
  <si>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</si>
  <si>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</si>
  <si>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</si>
  <si>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</si>
  <si>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</si>
  <si>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</si>
  <si>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</si>
  <si>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</si>
  <si>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</si>
  <si>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</si>
  <si>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</si>
  <si>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</si>
  <si>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</si>
  <si>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</si>
  <si>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</si>
  <si>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</si>
  <si>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</si>
  <si>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</si>
  <si>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</si>
  <si>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</si>
  <si>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</si>
  <si>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</si>
  <si>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</si>
  <si>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</si>
  <si>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</si>
  <si>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</si>
  <si>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</si>
  <si>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</si>
  <si>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</si>
  <si>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</si>
  <si>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</si>
  <si>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</si>
  <si>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</si>
  <si>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</si>
  <si>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</si>
  <si>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</si>
  <si>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</si>
  <si>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</si>
  <si>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</si>
  <si>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</si>
  <si>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</si>
  <si>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</si>
  <si>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</si>
  <si>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</si>
  <si>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</si>
  <si>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</si>
  <si>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</si>
  <si>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</si>
  <si>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</si>
  <si>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</si>
  <si>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</si>
  <si>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</si>
  <si>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</si>
  <si>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</si>
  <si>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</si>
  <si>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</si>
  <si>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</si>
  <si>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</si>
  <si>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</si>
  <si>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</si>
  <si>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</si>
  <si>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</si>
  <si>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</si>
  <si>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</si>
  <si>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</si>
  <si>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</si>
  <si>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</si>
  <si>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</si>
  <si>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</si>
  <si>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</si>
  <si>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</si>
  <si>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</si>
  <si>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</si>
  <si>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</si>
  <si>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</si>
  <si>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</si>
  <si>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</si>
  <si>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</si>
  <si>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</si>
  <si>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</si>
  <si>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</si>
  <si>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</si>
  <si>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</si>
  <si>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</si>
  <si>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</si>
  <si>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</si>
  <si>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</si>
  <si>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</si>
  <si>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</si>
  <si>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</si>
  <si>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</si>
  <si>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</si>
  <si>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</si>
  <si>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</si>
  <si>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</si>
  <si>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</si>
  <si>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</si>
  <si>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</si>
  <si>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</si>
  <si>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</si>
  <si>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</si>
  <si>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</si>
  <si>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</si>
  <si>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</si>
  <si>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</si>
  <si>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</si>
  <si>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</si>
  <si>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</si>
  <si>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</si>
  <si>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</si>
  <si>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</si>
  <si>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</si>
  <si>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</si>
  <si>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</si>
  <si>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</si>
  <si>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</si>
  <si>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</si>
  <si>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</si>
  <si>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</si>
  <si>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</si>
  <si>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</si>
  <si>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</si>
  <si>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</si>
  <si>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</si>
  <si>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</si>
  <si>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</si>
  <si>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</si>
  <si>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</si>
  <si>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</si>
  <si>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</si>
  <si>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</si>
  <si>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</si>
  <si>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</si>
  <si>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</si>
  <si>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</si>
  <si>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</si>
  <si>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</si>
  <si>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</si>
  <si>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</si>
  <si>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</si>
  <si>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</si>
  <si>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</si>
  <si>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</si>
  <si>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</si>
  <si>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</si>
  <si>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</si>
  <si>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</si>
  <si>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</si>
  <si>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</si>
  <si>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</si>
  <si>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</si>
  <si>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</si>
  <si>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</si>
  <si>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</si>
  <si>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</si>
  <si>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</si>
  <si>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</si>
  <si>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</si>
  <si>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</si>
  <si>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</si>
  <si>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</si>
  <si>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</si>
  <si>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</si>
  <si>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</si>
  <si>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</si>
  <si>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</si>
  <si>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</si>
  <si>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</si>
  <si>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</si>
  <si>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</si>
  <si>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</si>
  <si>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</si>
  <si>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</si>
  <si>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</si>
  <si>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</si>
  <si>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</si>
  <si>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</si>
  <si>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</si>
  <si>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</si>
  <si>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</si>
  <si>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</si>
  <si>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</si>
  <si>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</si>
  <si>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</si>
  <si>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</si>
  <si>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</si>
  <si>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</si>
  <si>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</si>
  <si>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</si>
  <si>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</si>
  <si>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</si>
  <si>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</si>
  <si>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</si>
  <si>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</si>
  <si>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</si>
  <si>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</si>
  <si>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</si>
  <si>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</si>
  <si>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</si>
  <si>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</si>
  <si>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</si>
  <si>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</si>
  <si>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</si>
  <si>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</si>
  <si>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</si>
  <si>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</si>
  <si>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</si>
  <si>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</si>
  <si>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</si>
  <si>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</si>
  <si>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</si>
  <si>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</si>
  <si>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</si>
  <si>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</si>
  <si>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</si>
  <si>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</si>
  <si>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</si>
  <si>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</si>
  <si>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</si>
  <si>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</si>
  <si>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</si>
  <si>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</si>
  <si>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</si>
  <si>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</si>
  <si>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</si>
  <si>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</si>
  <si>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</si>
  <si>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</si>
  <si>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</si>
  <si>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</si>
  <si>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</si>
  <si>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</si>
  <si>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</si>
  <si>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</si>
  <si>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</si>
  <si>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</si>
  <si>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</si>
  <si>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</si>
  <si>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</si>
  <si>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</si>
  <si>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</si>
  <si>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</si>
  <si>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</si>
  <si>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</si>
  <si>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</si>
  <si>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</si>
  <si>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</si>
  <si>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</si>
  <si>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</si>
  <si>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</si>
  <si>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</si>
  <si>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</si>
  <si>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</si>
  <si>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</si>
  <si>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</si>
  <si>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</si>
  <si>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</si>
  <si>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</si>
  <si>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</si>
  <si>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</si>
  <si>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</si>
  <si>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</si>
  <si>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</si>
  <si>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</si>
  <si>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</si>
  <si>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</si>
  <si>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</si>
  <si>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</si>
  <si>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</si>
  <si>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</si>
  <si>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</si>
  <si>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</si>
  <si>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</si>
  <si>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</si>
  <si>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</si>
  <si>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</si>
  <si>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</si>
  <si>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</si>
  <si>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</si>
  <si>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</si>
  <si>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</si>
  <si>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</si>
  <si>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</si>
  <si>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</si>
  <si>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</si>
  <si>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</si>
  <si>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</si>
  <si>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</si>
  <si>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</si>
  <si>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</si>
  <si>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</si>
  <si>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</si>
  <si>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</si>
  <si>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</si>
  <si>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</si>
  <si>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</si>
  <si>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</si>
  <si>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</si>
  <si>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</si>
  <si>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</si>
  <si>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</si>
  <si>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</si>
  <si>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</si>
  <si>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</si>
  <si>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</si>
  <si>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</si>
  <si>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</si>
  <si>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</si>
  <si>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</si>
  <si>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</si>
  <si>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</si>
  <si>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</si>
  <si>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</si>
  <si>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</si>
  <si>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</si>
  <si>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</si>
  <si>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</si>
  <si>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</si>
  <si>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</si>
  <si>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</si>
  <si>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</si>
  <si>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</si>
  <si>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</si>
  <si>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</si>
  <si>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</si>
  <si>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</si>
  <si>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</si>
  <si>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</si>
  <si>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</si>
  <si>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</si>
  <si>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</si>
  <si>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</si>
  <si>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</si>
  <si>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</si>
  <si>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</si>
  <si>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</si>
  <si>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</si>
  <si>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</si>
  <si>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</si>
  <si>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</si>
  <si>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</si>
  <si>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</si>
  <si>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</si>
  <si>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</si>
  <si>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</si>
  <si>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</si>
  <si>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</si>
  <si>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</si>
  <si>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</si>
  <si>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</si>
  <si>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</si>
  <si>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</si>
  <si>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</si>
  <si>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</si>
  <si>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</si>
  <si>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</si>
  <si>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</si>
  <si>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</si>
  <si>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</si>
  <si>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</si>
  <si>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</si>
  <si>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</si>
  <si>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</si>
  <si>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</si>
  <si>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</si>
  <si>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</si>
  <si>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</si>
  <si>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</si>
  <si>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</si>
  <si>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</si>
  <si>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</si>
  <si>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</si>
  <si>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</si>
  <si>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</si>
  <si>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</si>
  <si>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</si>
  <si>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</si>
  <si>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</si>
  <si>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</si>
  <si>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</si>
  <si>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</si>
  <si>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</si>
  <si>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</si>
  <si>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</si>
  <si>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</si>
  <si>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</si>
  <si>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</si>
  <si>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</si>
  <si>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</si>
  <si>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</si>
  <si>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</si>
  <si>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</si>
  <si>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</si>
  <si>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</si>
  <si>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</si>
  <si>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</si>
  <si>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</si>
  <si>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</si>
  <si>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</si>
  <si>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</si>
  <si>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</si>
  <si>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</si>
  <si>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</si>
  <si>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</si>
  <si>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</si>
  <si>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</si>
  <si>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</si>
  <si>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</si>
  <si>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</si>
  <si>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</si>
  <si>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</si>
  <si>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</si>
  <si>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</si>
  <si>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</si>
  <si>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</si>
  <si>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</si>
  <si>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</si>
  <si>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</si>
  <si>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</si>
  <si>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</si>
  <si>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</si>
  <si>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</si>
  <si>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</si>
  <si>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</si>
  <si>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</si>
  <si>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</si>
  <si>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</si>
  <si>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</si>
  <si>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</si>
  <si>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</si>
  <si>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</si>
  <si>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</si>
  <si>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</si>
  <si>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</si>
  <si>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</si>
  <si>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MONITOR_DESK</t>
  </si>
  <si>
    <t>Esito</t>
  </si>
  <si>
    <t>Esito_Cercavert</t>
  </si>
  <si>
    <t>respinto</t>
  </si>
  <si>
    <t>sufficiente</t>
  </si>
  <si>
    <t>discreto</t>
  </si>
  <si>
    <t>buono</t>
  </si>
  <si>
    <t>Conteggio_Fatture</t>
  </si>
  <si>
    <t>Categorie</t>
  </si>
  <si>
    <t>Totale_Fatturato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</si>
</sst>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_-* #,##0\ &quot;€&quot;_-;\-* #,##0\ &quot;€&quot;_-;_-* &quot;-&quot;??\ &quot;€&quot;_-;_-@_-"/>
  </numFmts>
  <fonts count="14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0"/>
      <color theme="0"/>
      <name val="Arial"/>
      <family val="2"/>
    </font>
    <font>
      <b/>
      <sz val="10"/>
      <color theme="0"/>
      <name val="Verdana"/>
      <family val="2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rgb="FFFFCC99"/>
      </patternFill>
    </fill>
    <fill>
      <patternFill patternType="solid">
        <fgColor theme="4" tint="0.7999816888943144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1" fillId="6" borderId="2" xfId="0" applyFont="1" applyFill="1" applyBorder="1"/>
    <xf numFmtId="164" fontId="1" fillId="6" borderId="2" xfId="0" applyNumberFormat="1" applyFont="1" applyFill="1" applyBorder="1"/>
    <xf numFmtId="164" fontId="9" fillId="4" borderId="2" xfId="0" applyNumberFormat="1" applyFont="1" applyFill="1" applyBorder="1"/>
    <xf numFmtId="0" fontId="2" fillId="7" borderId="2" xfId="0" applyFont="1" applyFill="1" applyBorder="1"/>
    <xf numFmtId="164" fontId="2" fillId="7" borderId="2" xfId="0" applyNumberFormat="1" applyFont="1" applyFill="1" applyBorder="1"/>
    <xf numFmtId="164" fontId="2" fillId="5" borderId="2" xfId="0" applyNumberFormat="1" applyFont="1" applyFill="1" applyBorder="1"/>
    <xf numFmtId="0" fontId="2" fillId="5" borderId="2" xfId="0" applyFont="1" applyFill="1" applyBorder="1"/>
    <xf numFmtId="0" fontId="10" fillId="8" borderId="0" xfId="0" applyFont="1" applyFill="1"/>
    <xf numFmtId="0" fontId="4" fillId="9" borderId="0" xfId="0" applyFont="1" applyFill="1"/>
    <xf numFmtId="0" fontId="12" fillId="4" borderId="2" xfId="0" applyFont="1" applyFill="1" applyBorder="1"/>
    <xf numFmtId="0" fontId="0" fillId="5" borderId="2" xfId="0" applyFill="1" applyBorder="1"/>
    <xf numFmtId="0" fontId="11" fillId="5" borderId="2" xfId="0" applyFont="1" applyFill="1" applyBorder="1"/>
    <xf numFmtId="0" fontId="13" fillId="4" borderId="2" xfId="0" applyFont="1" applyFill="1" applyBorder="1"/>
    <xf numFmtId="168" fontId="0" fillId="5" borderId="2" xfId="1" applyNumberFormat="1" applyFont="1" applyFill="1" applyBorder="1"/>
  </cellXfs>
  <cellStyles count="2">
    <cellStyle name="Normale" xfId="0" builtinId="0"/>
    <cellStyle name="Valuta" xfId="1" builtinId="4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C1594954-6621-4590-BEF3-C5C4EF2DCCFC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Z997"/>
  <sheetViews>
    <sheetView workbookViewId="0">
      <pane ySplit="1" topLeftCell="A2" activePane="bottomLeft" state="frozen"/>
      <selection pane="bottomLeft" activeCell="D1" sqref="D1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4" width="29.09765625" customWidth="1"/>
    <col min="5" max="5" width="97.09765625" bestFit="1" customWidth="1"/>
    <col min="6" max="6" width="5.59765625" customWidth="1"/>
    <col min="7" max="7" width="7.09765625" customWidth="1"/>
    <col min="8" max="26" width="8.69921875" customWidth="1"/>
  </cols>
  <sheetData>
    <row r="1" spans="1:26" ht="12.75" customHeight="1" x14ac:dyDescent="0.3">
      <c r="A1" s="14" t="s">
        <v>0</v>
      </c>
      <c r="B1" s="14" t="s">
        <v>1</v>
      </c>
      <c r="C1" s="15" t="s">
        <v>2</v>
      </c>
      <c r="D1" s="16" t="s">
        <v>569</v>
      </c>
      <c r="E1" s="16" t="s">
        <v>570</v>
      </c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17" t="s">
        <v>3</v>
      </c>
      <c r="B2" s="17" t="s">
        <v>4</v>
      </c>
      <c r="C2" s="18">
        <v>281000</v>
      </c>
      <c r="D2" s="19">
        <f>+C2*0.2</f>
        <v>56200</v>
      </c>
      <c r="E2" s="20" t="str">
        <f>_xlfn.CONCAT(A2," ",B2)</f>
        <v>MON.SVGA 0,28 14" AOC 4VLR 1024 x 768, MPR II, N.I.,  Energy Star Digital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17" t="s">
        <v>5</v>
      </c>
      <c r="B3" s="17" t="s">
        <v>6</v>
      </c>
      <c r="C3" s="18">
        <v>323000</v>
      </c>
      <c r="D3" s="19">
        <f t="shared" ref="D3:D66" si="0">+C3*0.2</f>
        <v>64600</v>
      </c>
      <c r="E3" s="20" t="str">
        <f t="shared" ref="E3:E66" si="1">_xlfn.CONCAT(A3," ",B3)</f>
        <v>MON.SVGA 0,28 15" AOC 5VLR 1280 x 1024, MPR II, N.I.,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17" t="s">
        <v>7</v>
      </c>
      <c r="B4" s="17" t="s">
        <v>8</v>
      </c>
      <c r="C4" s="18">
        <v>344000</v>
      </c>
      <c r="D4" s="19">
        <f t="shared" si="0"/>
        <v>68800</v>
      </c>
      <c r="E4" s="20" t="str">
        <f t="shared" si="1"/>
        <v>MON.SVGA 0,28 15" AOC 5NLR OSD 1280 x 1024, MPR II, N.I., Energy Star Digital, 69KHz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17" t="s">
        <v>9</v>
      </c>
      <c r="B5" s="17" t="s">
        <v>10</v>
      </c>
      <c r="C5" s="18">
        <v>361000</v>
      </c>
      <c r="D5" s="19">
        <f t="shared" si="0"/>
        <v>72200</v>
      </c>
      <c r="E5" s="20" t="str">
        <f t="shared" si="1"/>
        <v>MON.SVGA 0,28 15" AOC 5GLR+ OSD 1280 x 1024, MPR II,TCO'92 N.I., Energy Star Digit 69KHz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17" t="s">
        <v>11</v>
      </c>
      <c r="B6" s="17" t="s">
        <v>12</v>
      </c>
      <c r="C6" s="18">
        <v>521000</v>
      </c>
      <c r="D6" s="19">
        <f t="shared" si="0"/>
        <v>104200</v>
      </c>
      <c r="E6" s="20" t="str">
        <f t="shared" si="1"/>
        <v>MON. 15" 0.23 CM500ET HITACHI 1152x870, 75 Hz, MPR II,TCO'92, N.I.,Energy Star, P&amp;P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7" t="s">
        <v>13</v>
      </c>
      <c r="B7" s="17" t="s">
        <v>14</v>
      </c>
      <c r="C7" s="18">
        <v>527000</v>
      </c>
      <c r="D7" s="19">
        <f t="shared" si="0"/>
        <v>105400</v>
      </c>
      <c r="E7" s="20" t="str">
        <f t="shared" si="1"/>
        <v>MON. 15" 0.28 A500 NEC 1280x1024, 60Hz, MPR II, Energy Star, P&amp;P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7" t="s">
        <v>15</v>
      </c>
      <c r="B8" s="17" t="s">
        <v>16</v>
      </c>
      <c r="C8" s="18">
        <v>626000</v>
      </c>
      <c r="D8" s="19">
        <f t="shared" si="0"/>
        <v>125200</v>
      </c>
      <c r="E8" s="20" t="str">
        <f t="shared" si="1"/>
        <v>MON.SVGA 0,28 17" AOC 7VLR 1280 x 1024, MPR II, N.I., Energy Star Digital  70KHz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7" t="s">
        <v>17</v>
      </c>
      <c r="B9" s="17" t="s">
        <v>18</v>
      </c>
      <c r="C9" s="18">
        <v>656000</v>
      </c>
      <c r="D9" s="19">
        <f t="shared" si="0"/>
        <v>131200</v>
      </c>
      <c r="E9" s="20" t="str">
        <f t="shared" si="1"/>
        <v>MON. 15" 0.25 E500 NEC, Croma Clear 1280x1024, 65Hz,TCO'95, MPR II, Energy Star, P&amp;P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7" t="s">
        <v>19</v>
      </c>
      <c r="B10" s="17" t="s">
        <v>20</v>
      </c>
      <c r="C10" s="18">
        <v>666000</v>
      </c>
      <c r="D10" s="19">
        <f t="shared" si="0"/>
        <v>133200</v>
      </c>
      <c r="E10" s="20" t="str">
        <f t="shared" si="1"/>
        <v>MON.SVGA 0,26 17" AOC 7GLR OSD 1280 x 1024,TCO '92, Energy Star Digital, 85KHz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7" t="s">
        <v>21</v>
      </c>
      <c r="B11" s="17" t="s">
        <v>22</v>
      </c>
      <c r="C11" s="18">
        <v>882000</v>
      </c>
      <c r="D11" s="19">
        <f t="shared" si="0"/>
        <v>176400</v>
      </c>
      <c r="E11" s="20" t="str">
        <f t="shared" si="1"/>
        <v>MON. 17" 0.28 A700 NEC 1280x1024, 65Hz, MPR II, Energy Star, P&amp;P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7" t="s">
        <v>23</v>
      </c>
      <c r="B12" s="17" t="s">
        <v>24</v>
      </c>
      <c r="C12" s="18">
        <v>1108000</v>
      </c>
      <c r="D12" s="19">
        <f t="shared" si="0"/>
        <v>221600</v>
      </c>
      <c r="E12" s="20" t="str">
        <f t="shared" si="1"/>
        <v xml:space="preserve">MON. 17" 0.21 CM630ET HITACHI 1280x1024,80 Hz,TCO '95 N.I.,Energy Star, P&amp;P 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17" t="s">
        <v>25</v>
      </c>
      <c r="B13" s="17" t="s">
        <v>26</v>
      </c>
      <c r="C13" s="18">
        <v>1316000</v>
      </c>
      <c r="D13" s="19">
        <f t="shared" si="0"/>
        <v>263200</v>
      </c>
      <c r="E13" s="20" t="str">
        <f t="shared" si="1"/>
        <v>MON. 17" 0.25 P750 NEC, Croma Clear 1600x1280, 75Hz, TCO'92, MPR II, Energy Star, P&amp;P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7" t="s">
        <v>27</v>
      </c>
      <c r="B14" s="17" t="s">
        <v>28</v>
      </c>
      <c r="C14" s="18">
        <v>1594000</v>
      </c>
      <c r="D14" s="19">
        <f t="shared" si="0"/>
        <v>318800</v>
      </c>
      <c r="E14" s="20" t="str">
        <f t="shared" si="1"/>
        <v xml:space="preserve">MON. 19" 0.22 CM751ET HITACHI 1600x1200,75 Hz,TCO '95 N.I.,Energy Star, P&amp;P 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17" t="s">
        <v>29</v>
      </c>
      <c r="B15" s="17" t="s">
        <v>30</v>
      </c>
      <c r="C15" s="18">
        <v>2719000</v>
      </c>
      <c r="D15" s="19">
        <f t="shared" si="0"/>
        <v>543800</v>
      </c>
      <c r="E15" s="20" t="str">
        <f t="shared" si="1"/>
        <v xml:space="preserve">MON. 21" 0.21 CM802ETM HITACHI 1600x1280,75 Hz,TCO '95 N.I.,Energy Star, P&amp;P 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17" t="s">
        <v>31</v>
      </c>
      <c r="B16" s="17"/>
      <c r="C16" s="18"/>
      <c r="D16" s="19">
        <f t="shared" si="0"/>
        <v>0</v>
      </c>
      <c r="E16" s="20" t="str">
        <f t="shared" si="1"/>
        <v xml:space="preserve">MONITOR  LCD 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17" t="s">
        <v>32</v>
      </c>
      <c r="B17" s="17" t="s">
        <v>33</v>
      </c>
      <c r="C17" s="18">
        <v>4092000</v>
      </c>
      <c r="D17" s="19">
        <f t="shared" si="0"/>
        <v>818400</v>
      </c>
      <c r="E17" s="20" t="str">
        <f t="shared" si="1"/>
        <v>MON. 14" LCD 0.28 LCD400V NEC 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17" t="s">
        <v>34</v>
      </c>
      <c r="B18" s="17" t="s">
        <v>35</v>
      </c>
      <c r="C18" s="18">
        <v>13859000</v>
      </c>
      <c r="D18" s="19">
        <f t="shared" si="0"/>
        <v>2771800</v>
      </c>
      <c r="E18" s="20" t="str">
        <f t="shared" si="1"/>
        <v>MON. 20" LCD 0.31 LCD2000sf NEC 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17" t="s">
        <v>36</v>
      </c>
      <c r="B19" s="17"/>
      <c r="C19" s="18"/>
      <c r="D19" s="19">
        <f t="shared" si="0"/>
        <v>0</v>
      </c>
      <c r="E19" s="20" t="str">
        <f t="shared" si="1"/>
        <v xml:space="preserve">SCHEDE MADRI 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17" t="s">
        <v>37</v>
      </c>
      <c r="B20" s="17" t="s">
        <v>38</v>
      </c>
      <c r="C20" s="18">
        <v>167000</v>
      </c>
      <c r="D20" s="19">
        <f t="shared" si="0"/>
        <v>33400</v>
      </c>
      <c r="E20" s="20" t="str">
        <f t="shared" si="1"/>
        <v>M/B ASUS SP97-V SVGA SHARE MEMORY 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17" t="s">
        <v>39</v>
      </c>
      <c r="B21" s="17" t="s">
        <v>40</v>
      </c>
      <c r="C21" s="18">
        <v>202000</v>
      </c>
      <c r="D21" s="19">
        <f t="shared" si="0"/>
        <v>40400</v>
      </c>
      <c r="E21" s="20" t="str">
        <f t="shared" si="1"/>
        <v>M/B ASUS TXP4 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7" t="s">
        <v>41</v>
      </c>
      <c r="B22" s="17" t="s">
        <v>42</v>
      </c>
      <c r="C22" s="18">
        <v>203000</v>
      </c>
      <c r="D22" s="19">
        <f t="shared" si="0"/>
        <v>40600</v>
      </c>
      <c r="E22" s="20" t="str">
        <f t="shared" si="1"/>
        <v>M/B ASUS SP98AGP-X ATX 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17" t="s">
        <v>43</v>
      </c>
      <c r="B23" s="17" t="s">
        <v>40</v>
      </c>
      <c r="C23" s="18">
        <v>234000</v>
      </c>
      <c r="D23" s="19">
        <f t="shared" si="0"/>
        <v>46800</v>
      </c>
      <c r="E23" s="20" t="str">
        <f t="shared" si="1"/>
        <v>M/B ASUS TX-97 - E 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17" t="s">
        <v>44</v>
      </c>
      <c r="B24" s="17" t="s">
        <v>45</v>
      </c>
      <c r="C24" s="18">
        <v>252000</v>
      </c>
      <c r="D24" s="19">
        <f t="shared" si="0"/>
        <v>50400</v>
      </c>
      <c r="E24" s="20" t="str">
        <f t="shared" si="1"/>
        <v>M/B ASUS TX-97 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17" t="s">
        <v>46</v>
      </c>
      <c r="B25" s="17" t="s">
        <v>40</v>
      </c>
      <c r="C25" s="18">
        <v>259000</v>
      </c>
      <c r="D25" s="19">
        <f t="shared" si="0"/>
        <v>51800</v>
      </c>
      <c r="E25" s="20" t="str">
        <f t="shared" si="1"/>
        <v>M/B ASUS TX-97 - XE ATX NO AUDIO 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17" t="s">
        <v>47</v>
      </c>
      <c r="B26" s="17" t="s">
        <v>48</v>
      </c>
      <c r="C26" s="18">
        <v>269000</v>
      </c>
      <c r="D26" s="19">
        <f t="shared" si="0"/>
        <v>53800</v>
      </c>
      <c r="E26" s="20" t="str">
        <f t="shared" si="1"/>
        <v>M/B ASUS P2L97-B 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17" t="s">
        <v>49</v>
      </c>
      <c r="B27" s="17" t="s">
        <v>50</v>
      </c>
      <c r="C27" s="18">
        <v>271000</v>
      </c>
      <c r="D27" s="19">
        <f t="shared" si="0"/>
        <v>54200</v>
      </c>
      <c r="E27" s="20" t="str">
        <f t="shared" si="1"/>
        <v>M/B ASUS  P55T2P4 430HX 512K P5 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17" t="s">
        <v>51</v>
      </c>
      <c r="B28" s="17" t="s">
        <v>52</v>
      </c>
      <c r="C28" s="18">
        <v>292000</v>
      </c>
      <c r="D28" s="19">
        <f t="shared" si="0"/>
        <v>58400</v>
      </c>
      <c r="E28" s="20" t="str">
        <f t="shared" si="1"/>
        <v>M/B ASUS P2L97 ATX 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17" t="s">
        <v>53</v>
      </c>
      <c r="B29" s="17" t="s">
        <v>54</v>
      </c>
      <c r="C29" s="18">
        <v>293000</v>
      </c>
      <c r="D29" s="19">
        <f t="shared" si="0"/>
        <v>58600</v>
      </c>
      <c r="E29" s="20" t="str">
        <f t="shared" si="1"/>
        <v>M/B ASUS XP55T2P4 512K ATX P5 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17" t="s">
        <v>55</v>
      </c>
      <c r="B30" s="17" t="s">
        <v>40</v>
      </c>
      <c r="C30" s="18">
        <v>307000</v>
      </c>
      <c r="D30" s="19">
        <f t="shared" si="0"/>
        <v>61400</v>
      </c>
      <c r="E30" s="20" t="str">
        <f t="shared" si="1"/>
        <v>M/B ASUS TX-97 -XE ATX -CREATIVE VIBRA16 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17" t="s">
        <v>56</v>
      </c>
      <c r="B31" s="17" t="s">
        <v>57</v>
      </c>
      <c r="C31" s="18">
        <v>440000</v>
      </c>
      <c r="D31" s="19">
        <f t="shared" si="0"/>
        <v>88000</v>
      </c>
      <c r="E31" s="20" t="str">
        <f t="shared" si="1"/>
        <v>M/B ASUS P2L97-A ATX+VGA AGP 4MB 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17" t="s">
        <v>58</v>
      </c>
      <c r="B32" s="17" t="s">
        <v>59</v>
      </c>
      <c r="C32" s="18">
        <v>487000</v>
      </c>
      <c r="D32" s="19">
        <f t="shared" si="0"/>
        <v>97400</v>
      </c>
      <c r="E32" s="20" t="str">
        <f t="shared" si="1"/>
        <v>M/B ASUS P2L97-S ADAPTEC ATX 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17" t="s">
        <v>60</v>
      </c>
      <c r="B33" s="17" t="s">
        <v>61</v>
      </c>
      <c r="C33" s="18">
        <v>566000</v>
      </c>
      <c r="D33" s="19">
        <f t="shared" si="0"/>
        <v>113200</v>
      </c>
      <c r="E33" s="20" t="str">
        <f t="shared" si="1"/>
        <v>M/B ASUS P65UP5+P55T2D 512K DUAL P5 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17" t="s">
        <v>62</v>
      </c>
      <c r="B34" s="17" t="s">
        <v>59</v>
      </c>
      <c r="C34" s="18">
        <v>802000</v>
      </c>
      <c r="D34" s="19">
        <f t="shared" si="0"/>
        <v>160400</v>
      </c>
      <c r="E34" s="20" t="str">
        <f t="shared" si="1"/>
        <v>M/B ASUS P2L97-DS DUAL P II 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17" t="s">
        <v>63</v>
      </c>
      <c r="B35" s="17" t="s">
        <v>64</v>
      </c>
      <c r="C35" s="18">
        <v>1579000</v>
      </c>
      <c r="D35" s="19">
        <f t="shared" si="0"/>
        <v>315800</v>
      </c>
      <c r="E35" s="20" t="str">
        <f t="shared" si="1"/>
        <v>M/B ASUS P65UP8+PKND DUAL PII 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17" t="s">
        <v>65</v>
      </c>
      <c r="B36" s="17"/>
      <c r="C36" s="18"/>
      <c r="D36" s="19">
        <f t="shared" si="0"/>
        <v>0</v>
      </c>
      <c r="E36" s="20" t="str">
        <f t="shared" si="1"/>
        <v xml:space="preserve">SCHEDE VIDEO 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17" t="s">
        <v>66</v>
      </c>
      <c r="B37" s="17" t="s">
        <v>67</v>
      </c>
      <c r="C37" s="18">
        <v>70000</v>
      </c>
      <c r="D37" s="19">
        <f t="shared" si="0"/>
        <v>14000</v>
      </c>
      <c r="E37" s="20" t="str">
        <f t="shared" si="1"/>
        <v>SVGA S3 3D PRO VIRGE 2MB 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17" t="s">
        <v>68</v>
      </c>
      <c r="B38" s="17" t="s">
        <v>69</v>
      </c>
      <c r="C38" s="18">
        <v>104000</v>
      </c>
      <c r="D38" s="19">
        <f t="shared" si="0"/>
        <v>20800</v>
      </c>
      <c r="E38" s="20" t="str">
        <f t="shared" si="1"/>
        <v>CREATIVE ECLIPSE 4MB 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17" t="s">
        <v>70</v>
      </c>
      <c r="B39" s="17" t="s">
        <v>71</v>
      </c>
      <c r="C39" s="18">
        <v>127000</v>
      </c>
      <c r="D39" s="19">
        <f t="shared" si="0"/>
        <v>25400</v>
      </c>
      <c r="E39" s="20" t="str">
        <f t="shared" si="1"/>
        <v>ADD-ON MATROX m3D 4MB 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17" t="s">
        <v>72</v>
      </c>
      <c r="B40" s="17" t="s">
        <v>73</v>
      </c>
      <c r="C40" s="18">
        <v>162000</v>
      </c>
      <c r="D40" s="19">
        <f t="shared" si="0"/>
        <v>32400</v>
      </c>
      <c r="E40" s="20" t="str">
        <f t="shared" si="1"/>
        <v>ASUS 3DP-V264GT2 4MB TV-OUT 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17" t="s">
        <v>74</v>
      </c>
      <c r="B41" s="17" t="s">
        <v>75</v>
      </c>
      <c r="C41" s="18">
        <v>179000</v>
      </c>
      <c r="D41" s="19">
        <f t="shared" si="0"/>
        <v>35800</v>
      </c>
      <c r="E41" s="20" t="str">
        <f t="shared" si="1"/>
        <v>SVGA MYSTIQUE 220 "BULK" 4MB 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17" t="s">
        <v>76</v>
      </c>
      <c r="B42" s="17" t="s">
        <v>77</v>
      </c>
      <c r="C42" s="18">
        <v>186000</v>
      </c>
      <c r="D42" s="19">
        <f t="shared" si="0"/>
        <v>37200</v>
      </c>
      <c r="E42" s="20" t="str">
        <f t="shared" si="1"/>
        <v>ASUS 3DP-V385GX2 4MB TV-OUT 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17" t="s">
        <v>78</v>
      </c>
      <c r="B43" s="17" t="s">
        <v>77</v>
      </c>
      <c r="C43" s="18">
        <v>186000</v>
      </c>
      <c r="D43" s="19">
        <f t="shared" si="0"/>
        <v>37200</v>
      </c>
      <c r="E43" s="20" t="str">
        <f t="shared" si="1"/>
        <v>ASUS V385GX2 AGP 4MB TV-OUT 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17" t="s">
        <v>79</v>
      </c>
      <c r="B44" s="17" t="s">
        <v>80</v>
      </c>
      <c r="C44" s="18">
        <v>203000</v>
      </c>
      <c r="D44" s="19">
        <f t="shared" si="0"/>
        <v>40600</v>
      </c>
      <c r="E44" s="20" t="str">
        <f t="shared" si="1"/>
        <v>CREATIVE GRAPHIC EXXTREME 4MB 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17" t="s">
        <v>81</v>
      </c>
      <c r="B45" s="17" t="s">
        <v>75</v>
      </c>
      <c r="C45" s="18">
        <v>212000</v>
      </c>
      <c r="D45" s="19">
        <f t="shared" si="0"/>
        <v>42400</v>
      </c>
      <c r="E45" s="20" t="str">
        <f t="shared" si="1"/>
        <v>SVGA MYSTIQUE 220  4MB 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17" t="s">
        <v>82</v>
      </c>
      <c r="B46" s="17" t="s">
        <v>83</v>
      </c>
      <c r="C46" s="18">
        <v>222000</v>
      </c>
      <c r="D46" s="19">
        <f t="shared" si="0"/>
        <v>44400</v>
      </c>
      <c r="E46" s="20" t="str">
        <f t="shared" si="1"/>
        <v>SVGA ACC. 3D/FX VOODO RUSH 4MB 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17" t="s">
        <v>84</v>
      </c>
      <c r="B47" s="17" t="s">
        <v>85</v>
      </c>
      <c r="C47" s="18">
        <v>245000</v>
      </c>
      <c r="D47" s="19">
        <f t="shared" si="0"/>
        <v>49000</v>
      </c>
      <c r="E47" s="20" t="str">
        <f t="shared" si="1"/>
        <v>SVGA ACC. 3D/FX VOODO RUSH 6MB 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17" t="s">
        <v>86</v>
      </c>
      <c r="B48" s="17" t="s">
        <v>87</v>
      </c>
      <c r="C48" s="18">
        <v>251000</v>
      </c>
      <c r="D48" s="19">
        <f t="shared" si="0"/>
        <v>50200</v>
      </c>
      <c r="E48" s="20" t="str">
        <f t="shared" si="1"/>
        <v>RAINBOW R. TV 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17" t="s">
        <v>88</v>
      </c>
      <c r="B49" s="17" t="s">
        <v>89</v>
      </c>
      <c r="C49" s="18">
        <v>257000</v>
      </c>
      <c r="D49" s="19">
        <f t="shared" si="0"/>
        <v>51400</v>
      </c>
      <c r="E49" s="20" t="str">
        <f t="shared" si="1"/>
        <v>ASUS 3D EXPLORER AGP 4MB TV-OUT 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17" t="s">
        <v>90</v>
      </c>
      <c r="B50" s="17" t="s">
        <v>89</v>
      </c>
      <c r="C50" s="18">
        <v>269000</v>
      </c>
      <c r="D50" s="19">
        <f t="shared" si="0"/>
        <v>53800</v>
      </c>
      <c r="E50" s="20" t="str">
        <f t="shared" si="1"/>
        <v>ASUS 3D EXPLORER PCI 4MB TV-OUT 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17" t="s">
        <v>91</v>
      </c>
      <c r="B51" s="17" t="s">
        <v>92</v>
      </c>
      <c r="C51" s="18">
        <v>314000</v>
      </c>
      <c r="D51" s="19">
        <f t="shared" si="0"/>
        <v>62800</v>
      </c>
      <c r="E51" s="20" t="str">
        <f t="shared" si="1"/>
        <v xml:space="preserve">SVGA MILLENNIUM II 4MB "BULK" 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17" t="s">
        <v>93</v>
      </c>
      <c r="B52" s="17" t="s">
        <v>94</v>
      </c>
      <c r="C52" s="18">
        <v>325000</v>
      </c>
      <c r="D52" s="19">
        <f t="shared" si="0"/>
        <v>65000</v>
      </c>
      <c r="E52" s="20" t="str">
        <f t="shared" si="1"/>
        <v>SVGA MILLENNIUM II 4MB AGP 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17" t="s">
        <v>95</v>
      </c>
      <c r="B53" s="17" t="s">
        <v>96</v>
      </c>
      <c r="C53" s="18">
        <v>347000</v>
      </c>
      <c r="D53" s="19">
        <f t="shared" si="0"/>
        <v>69400</v>
      </c>
      <c r="E53" s="20" t="str">
        <f t="shared" si="1"/>
        <v>RAINBOW R. STUDIO 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17" t="s">
        <v>97</v>
      </c>
      <c r="B54" s="17" t="s">
        <v>92</v>
      </c>
      <c r="C54" s="18">
        <v>369000</v>
      </c>
      <c r="D54" s="19">
        <f t="shared" si="0"/>
        <v>73800</v>
      </c>
      <c r="E54" s="20" t="str">
        <f t="shared" si="1"/>
        <v xml:space="preserve">SVGA MILLENNIUM II 4MB 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17" t="s">
        <v>98</v>
      </c>
      <c r="B55" s="17" t="s">
        <v>99</v>
      </c>
      <c r="C55" s="18">
        <v>402000</v>
      </c>
      <c r="D55" s="19">
        <f t="shared" si="0"/>
        <v>80400</v>
      </c>
      <c r="E55" s="20" t="str">
        <f t="shared" si="1"/>
        <v>CREATIVE VOODO-2 8MB Add-on 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17" t="s">
        <v>100</v>
      </c>
      <c r="B56" s="17" t="s">
        <v>92</v>
      </c>
      <c r="C56" s="18">
        <v>471000</v>
      </c>
      <c r="D56" s="19">
        <f t="shared" si="0"/>
        <v>94200</v>
      </c>
      <c r="E56" s="20" t="str">
        <f t="shared" si="1"/>
        <v xml:space="preserve">SVGA MILLENNIUM II 8MB "BULK" 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17" t="s">
        <v>101</v>
      </c>
      <c r="B57" s="17" t="s">
        <v>94</v>
      </c>
      <c r="C57" s="18">
        <v>476000</v>
      </c>
      <c r="D57" s="19">
        <f t="shared" si="0"/>
        <v>95200</v>
      </c>
      <c r="E57" s="20" t="str">
        <f t="shared" si="1"/>
        <v>SVGA MILLENNIUM II 8MB AGP 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17" t="s">
        <v>102</v>
      </c>
      <c r="B58" s="17" t="s">
        <v>99</v>
      </c>
      <c r="C58" s="18">
        <v>492000</v>
      </c>
      <c r="D58" s="19">
        <f t="shared" si="0"/>
        <v>98400</v>
      </c>
      <c r="E58" s="20" t="str">
        <f t="shared" si="1"/>
        <v>CREATIVE VOODO-2 12MB Add-on 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17" t="s">
        <v>103</v>
      </c>
      <c r="B59" s="17" t="s">
        <v>104</v>
      </c>
      <c r="C59" s="18">
        <v>531000</v>
      </c>
      <c r="D59" s="19">
        <f t="shared" si="0"/>
        <v>106200</v>
      </c>
      <c r="E59" s="20" t="str">
        <f t="shared" si="1"/>
        <v>VIDEO &amp; GRAPHIC KIT 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17" t="s">
        <v>105</v>
      </c>
      <c r="B60" s="17" t="s">
        <v>92</v>
      </c>
      <c r="C60" s="18">
        <v>552000</v>
      </c>
      <c r="D60" s="19">
        <f t="shared" si="0"/>
        <v>110400</v>
      </c>
      <c r="E60" s="20" t="str">
        <f t="shared" si="1"/>
        <v xml:space="preserve">SVGA MILLENNIUM II 8MB 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17" t="s">
        <v>106</v>
      </c>
      <c r="B61" s="17" t="s">
        <v>107</v>
      </c>
      <c r="C61" s="18">
        <v>1487000</v>
      </c>
      <c r="D61" s="19">
        <f t="shared" si="0"/>
        <v>297400</v>
      </c>
      <c r="E61" s="20" t="str">
        <f t="shared" si="1"/>
        <v>ASUS 3DP- V500TX 16MB Work.Prof.3d 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17" t="s">
        <v>108</v>
      </c>
      <c r="B62" s="17"/>
      <c r="C62" s="18"/>
      <c r="D62" s="19">
        <f t="shared" si="0"/>
        <v>0</v>
      </c>
      <c r="E62" s="20" t="str">
        <f t="shared" si="1"/>
        <v xml:space="preserve">SCHEDE I/O 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17" t="s">
        <v>109</v>
      </c>
      <c r="B63" s="17" t="s">
        <v>110</v>
      </c>
      <c r="C63" s="18">
        <v>101000</v>
      </c>
      <c r="D63" s="19">
        <f t="shared" si="0"/>
        <v>20200</v>
      </c>
      <c r="E63" s="20" t="str">
        <f t="shared" si="1"/>
        <v>Contr. PCI SCSI 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17" t="s">
        <v>111</v>
      </c>
      <c r="B64" s="17" t="s">
        <v>112</v>
      </c>
      <c r="C64" s="18">
        <v>38000</v>
      </c>
      <c r="D64" s="19">
        <f t="shared" si="0"/>
        <v>7600</v>
      </c>
      <c r="E64" s="20" t="str">
        <f t="shared" si="1"/>
        <v>Contr. PCI EIDE 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17" t="s">
        <v>113</v>
      </c>
      <c r="B65" s="17" t="s">
        <v>114</v>
      </c>
      <c r="C65" s="18">
        <v>137000</v>
      </c>
      <c r="D65" s="19">
        <f t="shared" si="0"/>
        <v>27400</v>
      </c>
      <c r="E65" s="20" t="str">
        <f t="shared" si="1"/>
        <v>Contr. PCI SC200 SCSI-2 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17" t="s">
        <v>115</v>
      </c>
      <c r="B66" s="17" t="s">
        <v>116</v>
      </c>
      <c r="C66" s="18">
        <v>222000</v>
      </c>
      <c r="D66" s="19">
        <f t="shared" si="0"/>
        <v>44400</v>
      </c>
      <c r="E66" s="20" t="str">
        <f t="shared" si="1"/>
        <v>Contr. PCI SC875 Wide SCSI, SCSI-2 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17" t="s">
        <v>117</v>
      </c>
      <c r="B67" s="17" t="s">
        <v>118</v>
      </c>
      <c r="C67" s="18">
        <v>501000</v>
      </c>
      <c r="D67" s="19">
        <f t="shared" ref="D67:D130" si="2">+C67*0.2</f>
        <v>100200</v>
      </c>
      <c r="E67" s="20" t="str">
        <f t="shared" ref="E67:E130" si="3">_xlfn.CONCAT(A67," ",B67)</f>
        <v>Contr. PCI AHA 2940AU SCSI-2 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17" t="s">
        <v>119</v>
      </c>
      <c r="B68" s="17" t="s">
        <v>120</v>
      </c>
      <c r="C68" s="18">
        <v>428000</v>
      </c>
      <c r="D68" s="19">
        <f t="shared" si="2"/>
        <v>85600</v>
      </c>
      <c r="E68" s="20" t="str">
        <f t="shared" si="3"/>
        <v>Contr. PCI AHA 2940UW Wide SCSI OEM 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17" t="s">
        <v>121</v>
      </c>
      <c r="B69" s="17" t="s">
        <v>122</v>
      </c>
      <c r="C69" s="18">
        <v>561000</v>
      </c>
      <c r="D69" s="19">
        <f t="shared" si="2"/>
        <v>112200</v>
      </c>
      <c r="E69" s="20" t="str">
        <f t="shared" si="3"/>
        <v>Contr. PCI AHA 2940UW Wide SCSI 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17" t="s">
        <v>123</v>
      </c>
      <c r="B70" s="17" t="s">
        <v>124</v>
      </c>
      <c r="C70" s="18">
        <v>1578000</v>
      </c>
      <c r="D70" s="19">
        <f t="shared" si="2"/>
        <v>315600</v>
      </c>
      <c r="E70" s="20" t="str">
        <f t="shared" si="3"/>
        <v>Contr.PCI DA2100 Dual Wide SCSI 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17" t="s">
        <v>125</v>
      </c>
      <c r="B71" s="17" t="s">
        <v>126</v>
      </c>
      <c r="C71" s="18">
        <v>34000</v>
      </c>
      <c r="D71" s="19">
        <f t="shared" si="2"/>
        <v>6800</v>
      </c>
      <c r="E71" s="20" t="str">
        <f t="shared" si="3"/>
        <v>Scheda 2 porte seriali, 1 porta parallela 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17" t="s">
        <v>127</v>
      </c>
      <c r="B72" s="17" t="s">
        <v>128</v>
      </c>
      <c r="C72" s="18">
        <v>20000</v>
      </c>
      <c r="D72" s="19">
        <f t="shared" si="2"/>
        <v>4000</v>
      </c>
      <c r="E72" s="20" t="str">
        <f t="shared" si="3"/>
        <v xml:space="preserve">Scheda singola seriale 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17" t="s">
        <v>129</v>
      </c>
      <c r="B73" s="17" t="s">
        <v>128</v>
      </c>
      <c r="C73" s="18">
        <v>23000</v>
      </c>
      <c r="D73" s="19">
        <f t="shared" si="2"/>
        <v>4600</v>
      </c>
      <c r="E73" s="20" t="str">
        <f t="shared" si="3"/>
        <v xml:space="preserve">Scheda doppia seriale 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17" t="s">
        <v>130</v>
      </c>
      <c r="B74" s="17"/>
      <c r="C74" s="18">
        <v>98000</v>
      </c>
      <c r="D74" s="19">
        <f t="shared" si="2"/>
        <v>19600</v>
      </c>
      <c r="E74" s="20" t="str">
        <f t="shared" si="3"/>
        <v xml:space="preserve">Scheda 4 porte seriali 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17" t="s">
        <v>131</v>
      </c>
      <c r="B75" s="17"/>
      <c r="C75" s="18">
        <v>251000</v>
      </c>
      <c r="D75" s="19">
        <f t="shared" si="2"/>
        <v>50200</v>
      </c>
      <c r="E75" s="20" t="str">
        <f t="shared" si="3"/>
        <v xml:space="preserve">Scheda 8 porte seriali 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17" t="s">
        <v>132</v>
      </c>
      <c r="B76" s="17"/>
      <c r="C76" s="18">
        <v>15000</v>
      </c>
      <c r="D76" s="19">
        <f t="shared" si="2"/>
        <v>3000</v>
      </c>
      <c r="E76" s="20" t="str">
        <f t="shared" si="3"/>
        <v xml:space="preserve">Scheda singola parallela 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17" t="s">
        <v>133</v>
      </c>
      <c r="B77" s="17"/>
      <c r="C77" s="18">
        <v>14000</v>
      </c>
      <c r="D77" s="19">
        <f t="shared" si="2"/>
        <v>2800</v>
      </c>
      <c r="E77" s="20" t="str">
        <f t="shared" si="3"/>
        <v xml:space="preserve">Scheda 2 porte joystick 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17" t="s">
        <v>134</v>
      </c>
      <c r="B78" s="17"/>
      <c r="C78" s="18"/>
      <c r="D78" s="19">
        <f t="shared" si="2"/>
        <v>0</v>
      </c>
      <c r="E78" s="20" t="str">
        <f t="shared" si="3"/>
        <v xml:space="preserve">HARD DISK 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17" t="s">
        <v>135</v>
      </c>
      <c r="B79" s="17" t="s">
        <v>136</v>
      </c>
      <c r="C79" s="18">
        <v>399000</v>
      </c>
      <c r="D79" s="19">
        <f t="shared" si="2"/>
        <v>79800</v>
      </c>
      <c r="E79" s="20" t="str">
        <f t="shared" si="3"/>
        <v>HARD DISK 2.5"  2,1GB U.Dma 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17" t="s">
        <v>137</v>
      </c>
      <c r="B80" s="17" t="s">
        <v>138</v>
      </c>
      <c r="C80" s="18">
        <v>259000</v>
      </c>
      <c r="D80" s="19">
        <f t="shared" si="2"/>
        <v>51800</v>
      </c>
      <c r="E80" s="20" t="str">
        <f t="shared" si="3"/>
        <v xml:space="preserve">HD 2,1 GB Ultra DMA 5400rpm 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17" t="s">
        <v>139</v>
      </c>
      <c r="B81" s="17" t="s">
        <v>138</v>
      </c>
      <c r="C81" s="18">
        <v>324000</v>
      </c>
      <c r="D81" s="19">
        <f t="shared" si="2"/>
        <v>64800</v>
      </c>
      <c r="E81" s="20" t="str">
        <f t="shared" si="3"/>
        <v xml:space="preserve">HD 3,2 GB Ultra DMA 5400rpm 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17" t="s">
        <v>140</v>
      </c>
      <c r="B82" s="17" t="s">
        <v>138</v>
      </c>
      <c r="C82" s="18">
        <v>378000</v>
      </c>
      <c r="D82" s="19">
        <f t="shared" si="2"/>
        <v>75600</v>
      </c>
      <c r="E82" s="20" t="str">
        <f t="shared" si="3"/>
        <v xml:space="preserve">HD 4,3 GB Ultra DMA 5400rpm 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17" t="s">
        <v>141</v>
      </c>
      <c r="B83" s="17" t="s">
        <v>138</v>
      </c>
      <c r="C83" s="18">
        <v>469000</v>
      </c>
      <c r="D83" s="19">
        <f t="shared" si="2"/>
        <v>93800</v>
      </c>
      <c r="E83" s="20" t="str">
        <f t="shared" si="3"/>
        <v xml:space="preserve">HD 5,2 GB Ultra DMA 5400rpm 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17" t="s">
        <v>142</v>
      </c>
      <c r="B84" s="17" t="s">
        <v>138</v>
      </c>
      <c r="C84" s="18">
        <v>556000</v>
      </c>
      <c r="D84" s="19">
        <f t="shared" si="2"/>
        <v>111200</v>
      </c>
      <c r="E84" s="20" t="str">
        <f t="shared" si="3"/>
        <v xml:space="preserve">HD 6,4 GB Ultra DMA 5400rpm 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17" t="s">
        <v>143</v>
      </c>
      <c r="B85" s="17" t="s">
        <v>144</v>
      </c>
      <c r="C85" s="18">
        <v>476000</v>
      </c>
      <c r="D85" s="19">
        <f t="shared" si="2"/>
        <v>95200</v>
      </c>
      <c r="E85" s="20" t="str">
        <f t="shared" si="3"/>
        <v>HD 2 GB SCSI III 5400 rpm 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17" t="s">
        <v>145</v>
      </c>
      <c r="B86" s="17" t="s">
        <v>144</v>
      </c>
      <c r="C86" s="18">
        <v>477000</v>
      </c>
      <c r="D86" s="19">
        <f t="shared" si="2"/>
        <v>95400</v>
      </c>
      <c r="E86" s="20" t="str">
        <f t="shared" si="3"/>
        <v>HD 3,2 GB SCSI III 5400rpm 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17" t="s">
        <v>146</v>
      </c>
      <c r="B87" s="17" t="s">
        <v>144</v>
      </c>
      <c r="C87" s="18">
        <v>556000</v>
      </c>
      <c r="D87" s="19">
        <f t="shared" si="2"/>
        <v>111200</v>
      </c>
      <c r="E87" s="20" t="str">
        <f t="shared" si="3"/>
        <v>HD 4,3 GB SCSI 5400 rpm 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17" t="s">
        <v>147</v>
      </c>
      <c r="B88" s="17" t="s">
        <v>148</v>
      </c>
      <c r="C88" s="18">
        <v>695000</v>
      </c>
      <c r="D88" s="19">
        <f t="shared" si="2"/>
        <v>139000</v>
      </c>
      <c r="E88" s="20" t="str">
        <f t="shared" si="3"/>
        <v>HD 4,5 GB SCSI ULTRA WIDE 7200rpm 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17" t="s">
        <v>149</v>
      </c>
      <c r="B89" s="17" t="s">
        <v>150</v>
      </c>
      <c r="C89" s="18">
        <v>1279000</v>
      </c>
      <c r="D89" s="19">
        <f t="shared" si="2"/>
        <v>255800</v>
      </c>
      <c r="E89" s="20" t="str">
        <f t="shared" si="3"/>
        <v>HD 4,5 GB SCSI ULTRA WIDE 10.000rpm 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17" t="s">
        <v>151</v>
      </c>
      <c r="B90" s="17" t="s">
        <v>152</v>
      </c>
      <c r="C90" s="18">
        <v>35000</v>
      </c>
      <c r="D90" s="19">
        <f t="shared" si="2"/>
        <v>7000</v>
      </c>
      <c r="E90" s="20" t="str">
        <f t="shared" si="3"/>
        <v>FDD 1,44MB 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17" t="s">
        <v>153</v>
      </c>
      <c r="B91" s="17" t="s">
        <v>154</v>
      </c>
      <c r="C91" s="18">
        <v>175000</v>
      </c>
      <c r="D91" s="19">
        <f t="shared" si="2"/>
        <v>35000</v>
      </c>
      <c r="E91" s="20" t="str">
        <f t="shared" si="3"/>
        <v>FLOPPY DRIVE 120MB 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17" t="s">
        <v>155</v>
      </c>
      <c r="B92" s="17" t="s">
        <v>156</v>
      </c>
      <c r="C92" s="18">
        <v>272000</v>
      </c>
      <c r="D92" s="19">
        <f t="shared" si="2"/>
        <v>54400</v>
      </c>
      <c r="E92" s="20" t="str">
        <f t="shared" si="3"/>
        <v>ZIP DRIVE 100MB PARALL. 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17" t="s">
        <v>157</v>
      </c>
      <c r="B93" s="17" t="s">
        <v>156</v>
      </c>
      <c r="C93" s="18">
        <v>198000</v>
      </c>
      <c r="D93" s="19">
        <f t="shared" si="2"/>
        <v>39600</v>
      </c>
      <c r="E93" s="20" t="str">
        <f t="shared" si="3"/>
        <v>ZIP ATAPI 100MB INTERNO 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17" t="s">
        <v>158</v>
      </c>
      <c r="B94" s="17" t="s">
        <v>156</v>
      </c>
      <c r="C94" s="18">
        <v>290000</v>
      </c>
      <c r="D94" s="19">
        <f t="shared" si="2"/>
        <v>58000</v>
      </c>
      <c r="E94" s="20" t="str">
        <f t="shared" si="3"/>
        <v>ZIP DRIVE 100MB SCSI 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17" t="s">
        <v>159</v>
      </c>
      <c r="B95" s="17" t="s">
        <v>156</v>
      </c>
      <c r="C95" s="18">
        <v>589000</v>
      </c>
      <c r="D95" s="19">
        <f t="shared" si="2"/>
        <v>117800</v>
      </c>
      <c r="E95" s="20" t="str">
        <f t="shared" si="3"/>
        <v>JAZ DRIVE 1GB INT. 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17" t="s">
        <v>160</v>
      </c>
      <c r="B96" s="17" t="s">
        <v>156</v>
      </c>
      <c r="C96" s="18">
        <v>743000</v>
      </c>
      <c r="D96" s="19">
        <f t="shared" si="2"/>
        <v>148600</v>
      </c>
      <c r="E96" s="20" t="str">
        <f t="shared" si="3"/>
        <v>JAZ DRIVE 1GB EXT. 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17" t="s">
        <v>161</v>
      </c>
      <c r="B97" s="17" t="s">
        <v>128</v>
      </c>
      <c r="C97" s="18">
        <v>271000</v>
      </c>
      <c r="D97" s="19">
        <f t="shared" si="2"/>
        <v>54200</v>
      </c>
      <c r="E97" s="20" t="str">
        <f t="shared" si="3"/>
        <v xml:space="preserve">KIT 10  CARTUCCE ZIP DRIVE 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17" t="s">
        <v>162</v>
      </c>
      <c r="B98" s="17" t="s">
        <v>128</v>
      </c>
      <c r="C98" s="18">
        <v>632000</v>
      </c>
      <c r="D98" s="19">
        <f t="shared" si="2"/>
        <v>126400</v>
      </c>
      <c r="E98" s="20" t="str">
        <f t="shared" si="3"/>
        <v xml:space="preserve">KIT 3 CARTUCCE JAZ DRIVE 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17" t="s">
        <v>163</v>
      </c>
      <c r="B99" s="17" t="s">
        <v>164</v>
      </c>
      <c r="C99" s="18">
        <v>90000</v>
      </c>
      <c r="D99" s="19">
        <f t="shared" si="2"/>
        <v>18000</v>
      </c>
      <c r="E99" s="20" t="str">
        <f t="shared" si="3"/>
        <v>KIT 3 CARTUCCE 120MB 3M 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17" t="s">
        <v>165</v>
      </c>
      <c r="B100" s="17" t="s">
        <v>166</v>
      </c>
      <c r="C100" s="18">
        <v>4000</v>
      </c>
      <c r="D100" s="19">
        <f t="shared" si="2"/>
        <v>800</v>
      </c>
      <c r="E100" s="20" t="str">
        <f t="shared" si="3"/>
        <v>FRAME HDD 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17" t="s">
        <v>167</v>
      </c>
      <c r="B101" s="17" t="s">
        <v>168</v>
      </c>
      <c r="C101" s="18">
        <v>5000</v>
      </c>
      <c r="D101" s="19">
        <f t="shared" si="2"/>
        <v>1000</v>
      </c>
      <c r="E101" s="20" t="str">
        <f t="shared" si="3"/>
        <v>FRAME FDD 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17" t="s">
        <v>169</v>
      </c>
      <c r="B102" s="17" t="s">
        <v>170</v>
      </c>
      <c r="C102" s="18">
        <v>41000</v>
      </c>
      <c r="D102" s="19">
        <f t="shared" si="2"/>
        <v>8200</v>
      </c>
      <c r="E102" s="20" t="str">
        <f t="shared" si="3"/>
        <v>FRAME REMOVIBILE 3.5" 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17" t="s">
        <v>171</v>
      </c>
      <c r="B103" s="17"/>
      <c r="C103" s="18"/>
      <c r="D103" s="19">
        <f t="shared" si="2"/>
        <v>0</v>
      </c>
      <c r="E103" s="20" t="str">
        <f t="shared" si="3"/>
        <v xml:space="preserve">MAGNETO-OTTICI 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17" t="s">
        <v>172</v>
      </c>
      <c r="B104" s="17" t="s">
        <v>173</v>
      </c>
      <c r="C104" s="18">
        <v>737000</v>
      </c>
      <c r="D104" s="19">
        <f t="shared" si="2"/>
        <v>147400</v>
      </c>
      <c r="E104" s="20" t="str">
        <f t="shared" si="3"/>
        <v>M.O. + CD 4X,  PD 2000 INT. 650 MB 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17" t="s">
        <v>174</v>
      </c>
      <c r="B105" s="17" t="s">
        <v>175</v>
      </c>
      <c r="C105" s="18">
        <v>910000</v>
      </c>
      <c r="D105" s="19">
        <f t="shared" si="2"/>
        <v>182000</v>
      </c>
      <c r="E105" s="20" t="str">
        <f t="shared" si="3"/>
        <v>M.O. + CD 4X,  PD 2000 EXT. 650 MB 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17" t="s">
        <v>176</v>
      </c>
      <c r="B106" s="17"/>
      <c r="C106" s="18">
        <v>241000</v>
      </c>
      <c r="D106" s="19">
        <f t="shared" si="2"/>
        <v>48200</v>
      </c>
      <c r="E106" s="20" t="str">
        <f t="shared" si="3"/>
        <v xml:space="preserve">KIT 5 CARTUCCE 650 MB 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17" t="s">
        <v>177</v>
      </c>
      <c r="B107" s="17"/>
      <c r="C107" s="18"/>
      <c r="D107" s="19">
        <f t="shared" si="2"/>
        <v>0</v>
      </c>
      <c r="E107" s="20" t="str">
        <f t="shared" si="3"/>
        <v xml:space="preserve">CD ROM 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17" t="s">
        <v>178</v>
      </c>
      <c r="B108" s="17" t="s">
        <v>179</v>
      </c>
      <c r="C108" s="18">
        <v>112000</v>
      </c>
      <c r="D108" s="19">
        <f t="shared" si="2"/>
        <v>22400</v>
      </c>
      <c r="E108" s="20" t="str">
        <f t="shared" si="3"/>
        <v>CD ROM 24X HITACHI CDR 8330 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17" t="s">
        <v>180</v>
      </c>
      <c r="B109" s="17" t="s">
        <v>179</v>
      </c>
      <c r="C109" s="18">
        <v>113000</v>
      </c>
      <c r="D109" s="19">
        <f t="shared" si="2"/>
        <v>22600</v>
      </c>
      <c r="E109" s="20" t="str">
        <f t="shared" si="3"/>
        <v>CD ROM 24X CREATIVE 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17" t="s">
        <v>181</v>
      </c>
      <c r="B110" s="17" t="s">
        <v>182</v>
      </c>
      <c r="C110" s="18">
        <v>121000</v>
      </c>
      <c r="D110" s="19">
        <f t="shared" si="2"/>
        <v>24200</v>
      </c>
      <c r="E110" s="20" t="str">
        <f t="shared" si="3"/>
        <v>CD ROM 24X PIONEER 502-S Bulk 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17" t="s">
        <v>183</v>
      </c>
      <c r="B111" s="17" t="s">
        <v>184</v>
      </c>
      <c r="C111" s="18">
        <v>160000</v>
      </c>
      <c r="D111" s="19">
        <f t="shared" si="2"/>
        <v>32000</v>
      </c>
      <c r="E111" s="20" t="str">
        <f t="shared" si="3"/>
        <v>CD ROM 34X ASUS 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17" t="s">
        <v>185</v>
      </c>
      <c r="B112" s="17" t="s">
        <v>186</v>
      </c>
      <c r="C112" s="18">
        <v>195000</v>
      </c>
      <c r="D112" s="19">
        <f t="shared" si="2"/>
        <v>39000</v>
      </c>
      <c r="E112" s="20" t="str">
        <f t="shared" si="3"/>
        <v>CD ROM 24X SCSI NEC 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17" t="s">
        <v>187</v>
      </c>
      <c r="B113" s="17" t="s">
        <v>188</v>
      </c>
      <c r="C113" s="18">
        <v>215000</v>
      </c>
      <c r="D113" s="19">
        <f t="shared" si="2"/>
        <v>43000</v>
      </c>
      <c r="E113" s="20" t="str">
        <f t="shared" si="3"/>
        <v>CD ROM 32X SCSI WAITEC 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17" t="s">
        <v>189</v>
      </c>
      <c r="B114" s="17" t="s">
        <v>188</v>
      </c>
      <c r="C114" s="18">
        <v>321000</v>
      </c>
      <c r="D114" s="19">
        <f t="shared" si="2"/>
        <v>64200</v>
      </c>
      <c r="E114" s="20" t="str">
        <f t="shared" si="3"/>
        <v>CD ROM PLEXTOR PX-32TSI 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17" t="s">
        <v>190</v>
      </c>
      <c r="B115" s="17" t="s">
        <v>191</v>
      </c>
      <c r="C115" s="18">
        <v>614000</v>
      </c>
      <c r="D115" s="19">
        <f t="shared" si="2"/>
        <v>122800</v>
      </c>
      <c r="E115" s="20" t="str">
        <f t="shared" si="3"/>
        <v>DVD CREATIVE KIT ENCORE DXR2 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17" t="s">
        <v>192</v>
      </c>
      <c r="B116" s="17"/>
      <c r="C116" s="18"/>
      <c r="D116" s="19">
        <f t="shared" si="2"/>
        <v>0</v>
      </c>
      <c r="E116" s="20" t="str">
        <f t="shared" si="3"/>
        <v xml:space="preserve">MASTERIZZATORI 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17" t="s">
        <v>193</v>
      </c>
      <c r="B117" s="17" t="s">
        <v>194</v>
      </c>
      <c r="C117" s="18">
        <v>30000</v>
      </c>
      <c r="D117" s="19">
        <f t="shared" si="2"/>
        <v>6000</v>
      </c>
      <c r="E117" s="20" t="str">
        <f t="shared" si="3"/>
        <v>CONFEZIONE 10 CDR 74' 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17" t="s">
        <v>195</v>
      </c>
      <c r="B118" s="17" t="s">
        <v>196</v>
      </c>
      <c r="C118" s="18">
        <v>34000</v>
      </c>
      <c r="D118" s="19">
        <f t="shared" si="2"/>
        <v>6800</v>
      </c>
      <c r="E118" s="20" t="str">
        <f t="shared" si="3"/>
        <v>CD RISCRIVIBILE 74' 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17" t="s">
        <v>197</v>
      </c>
      <c r="B119" s="17" t="s">
        <v>194</v>
      </c>
      <c r="C119" s="18">
        <v>35000</v>
      </c>
      <c r="D119" s="19">
        <f t="shared" si="2"/>
        <v>7000</v>
      </c>
      <c r="E119" s="20" t="str">
        <f t="shared" si="3"/>
        <v>CONFEZIONE 10 CDR 74' KODAK 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17" t="s">
        <v>198</v>
      </c>
      <c r="B120" s="17" t="s">
        <v>199</v>
      </c>
      <c r="C120" s="18">
        <v>77000</v>
      </c>
      <c r="D120" s="19">
        <f t="shared" si="2"/>
        <v>15400</v>
      </c>
      <c r="E120" s="20" t="str">
        <f t="shared" si="3"/>
        <v>SOFTWARE LABELLER CD KIT 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17" t="s">
        <v>200</v>
      </c>
      <c r="B121" s="17" t="s">
        <v>201</v>
      </c>
      <c r="C121" s="18">
        <v>723000</v>
      </c>
      <c r="D121" s="19">
        <f t="shared" si="2"/>
        <v>144600</v>
      </c>
      <c r="E121" s="20" t="str">
        <f t="shared" si="3"/>
        <v>WAITEC WT48/1 - GEAR - 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17" t="s">
        <v>202</v>
      </c>
      <c r="B122" s="17" t="s">
        <v>203</v>
      </c>
      <c r="C122" s="18">
        <v>742000</v>
      </c>
      <c r="D122" s="19">
        <f t="shared" si="2"/>
        <v>148400</v>
      </c>
      <c r="E122" s="20" t="str">
        <f t="shared" si="3"/>
        <v>WAITEC 2036EI/1 - SOFTWARE 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17" t="s">
        <v>204</v>
      </c>
      <c r="B123" s="17" t="s">
        <v>205</v>
      </c>
      <c r="C123" s="18">
        <v>778000</v>
      </c>
      <c r="D123" s="19">
        <f t="shared" si="2"/>
        <v>155600</v>
      </c>
      <c r="E123" s="20" t="str">
        <f t="shared" si="3"/>
        <v>RICOH MP6200ADP + SOFT.+5 CDR 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17" t="s">
        <v>206</v>
      </c>
      <c r="B124" s="17" t="s">
        <v>207</v>
      </c>
      <c r="C124" s="18">
        <v>878000</v>
      </c>
      <c r="D124" s="19">
        <f t="shared" si="2"/>
        <v>175600</v>
      </c>
      <c r="E124" s="20" t="str">
        <f t="shared" si="3"/>
        <v>RICOH MP6200SR - SOFTWARE SCSI 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17" t="s">
        <v>208</v>
      </c>
      <c r="B125" s="17" t="s">
        <v>207</v>
      </c>
      <c r="C125" s="18">
        <v>883000</v>
      </c>
      <c r="D125" s="19">
        <f t="shared" si="2"/>
        <v>176600</v>
      </c>
      <c r="E125" s="20" t="str">
        <f t="shared" si="3"/>
        <v>WAITEC 2026/1 - SOFTWARE SCSI 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17" t="s">
        <v>209</v>
      </c>
      <c r="B126" s="17" t="s">
        <v>201</v>
      </c>
      <c r="C126" s="18">
        <v>913000</v>
      </c>
      <c r="D126" s="19">
        <f t="shared" si="2"/>
        <v>182600</v>
      </c>
      <c r="E126" s="20" t="str">
        <f t="shared" si="3"/>
        <v>CDR 480i PLASMON EASY CD 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17" t="s">
        <v>210</v>
      </c>
      <c r="B127" s="17" t="s">
        <v>211</v>
      </c>
      <c r="C127" s="18">
        <v>1125000</v>
      </c>
      <c r="D127" s="19">
        <f t="shared" si="2"/>
        <v>225000</v>
      </c>
      <c r="E127" s="20" t="str">
        <f t="shared" si="3"/>
        <v>CDR 480e PLASMON EASY CD 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17" t="s">
        <v>212</v>
      </c>
      <c r="B128" s="17"/>
      <c r="C128" s="18"/>
      <c r="D128" s="19">
        <f t="shared" si="2"/>
        <v>0</v>
      </c>
      <c r="E128" s="20" t="str">
        <f t="shared" si="3"/>
        <v xml:space="preserve">MEMORIE 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17" t="s">
        <v>213</v>
      </c>
      <c r="B129" s="17"/>
      <c r="C129" s="18">
        <v>33000</v>
      </c>
      <c r="D129" s="19">
        <f t="shared" si="2"/>
        <v>6600</v>
      </c>
      <c r="E129" s="20" t="str">
        <f t="shared" si="3"/>
        <v xml:space="preserve">SIMM 8MB 72 PIN (EDO) 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17" t="s">
        <v>214</v>
      </c>
      <c r="B130" s="17"/>
      <c r="C130" s="18">
        <v>52000</v>
      </c>
      <c r="D130" s="19">
        <f t="shared" si="2"/>
        <v>10400</v>
      </c>
      <c r="E130" s="20" t="str">
        <f t="shared" si="3"/>
        <v xml:space="preserve">SIMM 16MB 72 PIN (EDO) 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17" t="s">
        <v>215</v>
      </c>
      <c r="B131" s="17"/>
      <c r="C131" s="18">
        <v>97000</v>
      </c>
      <c r="D131" s="19">
        <f t="shared" ref="D131:D194" si="4">+C131*0.2</f>
        <v>19400</v>
      </c>
      <c r="E131" s="20" t="str">
        <f t="shared" ref="E131:E194" si="5">_xlfn.CONCAT(A131," ",B131)</f>
        <v xml:space="preserve">SIMM 32MB 72 PIN (EDO) 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17" t="s">
        <v>216</v>
      </c>
      <c r="B132" s="17" t="s">
        <v>128</v>
      </c>
      <c r="C132" s="18"/>
      <c r="D132" s="19">
        <f t="shared" si="4"/>
        <v>0</v>
      </c>
      <c r="E132" s="20" t="str">
        <f t="shared" si="5"/>
        <v xml:space="preserve">MODEM FAX - VIDEOCAMERA 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17" t="s">
        <v>217</v>
      </c>
      <c r="B133" s="17" t="s">
        <v>218</v>
      </c>
      <c r="C133" s="18">
        <v>131000</v>
      </c>
      <c r="D133" s="19">
        <f t="shared" si="4"/>
        <v>26200</v>
      </c>
      <c r="E133" s="20" t="str">
        <f t="shared" si="5"/>
        <v>M/F MOTOROLA 3400PRO 28800 EXT 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17" t="s">
        <v>219</v>
      </c>
      <c r="B134" s="17" t="s">
        <v>220</v>
      </c>
      <c r="C134" s="18">
        <v>169000</v>
      </c>
      <c r="D134" s="19">
        <f t="shared" si="4"/>
        <v>33800</v>
      </c>
      <c r="E134" s="20" t="str">
        <f t="shared" si="5"/>
        <v>M/F LEONARDO PC 33600 INT OEM 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17" t="s">
        <v>221</v>
      </c>
      <c r="B135" s="17" t="s">
        <v>220</v>
      </c>
      <c r="C135" s="18">
        <v>190000</v>
      </c>
      <c r="D135" s="19">
        <f t="shared" si="4"/>
        <v>38000</v>
      </c>
      <c r="E135" s="20" t="str">
        <f t="shared" si="5"/>
        <v>M/F LEONARDO PC 33600 EXT 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17" t="s">
        <v>222</v>
      </c>
      <c r="B136" s="17" t="s">
        <v>218</v>
      </c>
      <c r="C136" s="18">
        <v>191000</v>
      </c>
      <c r="D136" s="19">
        <f t="shared" si="4"/>
        <v>38200</v>
      </c>
      <c r="E136" s="20" t="str">
        <f t="shared" si="5"/>
        <v>M/F MOTOROLA 56K  EXT BULK 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17" t="s">
        <v>223</v>
      </c>
      <c r="B137" s="17" t="s">
        <v>220</v>
      </c>
      <c r="C137" s="18">
        <v>197000</v>
      </c>
      <c r="D137" s="19">
        <f t="shared" si="4"/>
        <v>39400</v>
      </c>
      <c r="E137" s="20" t="str">
        <f t="shared" si="5"/>
        <v>M/F LEONARDO PC 33600 INT 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17" t="s">
        <v>224</v>
      </c>
      <c r="B138" s="17" t="s">
        <v>220</v>
      </c>
      <c r="C138" s="18">
        <v>201000</v>
      </c>
      <c r="D138" s="19">
        <f t="shared" si="4"/>
        <v>40200</v>
      </c>
      <c r="E138" s="20" t="str">
        <f t="shared" si="5"/>
        <v>M/F TIZIANO 33600 EXT 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17" t="s">
        <v>225</v>
      </c>
      <c r="B139" s="17" t="s">
        <v>226</v>
      </c>
      <c r="C139" s="18">
        <v>220000</v>
      </c>
      <c r="D139" s="19">
        <f t="shared" si="4"/>
        <v>44000</v>
      </c>
      <c r="E139" s="20" t="str">
        <f t="shared" si="5"/>
        <v>M/F SPORTSTER FLASH 33600 EXT ITA 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17" t="s">
        <v>227</v>
      </c>
      <c r="B140" s="17" t="s">
        <v>218</v>
      </c>
      <c r="C140" s="18">
        <v>250000</v>
      </c>
      <c r="D140" s="19">
        <f t="shared" si="4"/>
        <v>50000</v>
      </c>
      <c r="E140" s="20" t="str">
        <f t="shared" si="5"/>
        <v>M/F MOTOROLA 56K  EXT 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17" t="s">
        <v>228</v>
      </c>
      <c r="B141" s="17" t="s">
        <v>220</v>
      </c>
      <c r="C141" s="18">
        <v>257000</v>
      </c>
      <c r="D141" s="19">
        <f t="shared" si="4"/>
        <v>51400</v>
      </c>
      <c r="E141" s="20" t="str">
        <f t="shared" si="5"/>
        <v>M/F LEONARDO  56K  EXT 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17" t="s">
        <v>229</v>
      </c>
      <c r="B142" s="17" t="s">
        <v>220</v>
      </c>
      <c r="C142" s="18">
        <v>278000</v>
      </c>
      <c r="D142" s="19">
        <f t="shared" si="4"/>
        <v>55600</v>
      </c>
      <c r="E142" s="20" t="str">
        <f t="shared" si="5"/>
        <v>M/F TIZIANO 56K EXT 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17" t="s">
        <v>230</v>
      </c>
      <c r="B143" s="17" t="s">
        <v>226</v>
      </c>
      <c r="C143" s="18">
        <v>280000</v>
      </c>
      <c r="D143" s="19">
        <f t="shared" si="4"/>
        <v>56000</v>
      </c>
      <c r="E143" s="20" t="str">
        <f t="shared" si="5"/>
        <v>M/F SPORTSTER MESSAGE PLUS 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17" t="s">
        <v>231</v>
      </c>
      <c r="B144" s="17" t="s">
        <v>220</v>
      </c>
      <c r="C144" s="18">
        <v>300000</v>
      </c>
      <c r="D144" s="19">
        <f t="shared" si="4"/>
        <v>60000</v>
      </c>
      <c r="E144" s="20" t="str">
        <f t="shared" si="5"/>
        <v>M/F LEONARDO PCMCIA 33600 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17" t="s">
        <v>232</v>
      </c>
      <c r="B145" s="17" t="s">
        <v>233</v>
      </c>
      <c r="C145" s="18">
        <v>305000</v>
      </c>
      <c r="D145" s="19">
        <f t="shared" si="4"/>
        <v>61000</v>
      </c>
      <c r="E145" s="20" t="str">
        <f t="shared" si="5"/>
        <v>KIT VIDEOCONFERENZA "GALILEO" 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17" t="s">
        <v>234</v>
      </c>
      <c r="B146" s="17" t="s">
        <v>220</v>
      </c>
      <c r="C146" s="18">
        <v>335000</v>
      </c>
      <c r="D146" s="19">
        <f t="shared" si="4"/>
        <v>67000</v>
      </c>
      <c r="E146" s="20" t="str">
        <f t="shared" si="5"/>
        <v>MODEM ISDN TINTORETTO EXT. 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17" t="s">
        <v>235</v>
      </c>
      <c r="B147" s="17" t="s">
        <v>220</v>
      </c>
      <c r="C147" s="18">
        <v>360000</v>
      </c>
      <c r="D147" s="19">
        <f t="shared" si="4"/>
        <v>72000</v>
      </c>
      <c r="E147" s="20" t="str">
        <f t="shared" si="5"/>
        <v>M/F LEONARDO PCMCIA 56K 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17" t="s">
        <v>236</v>
      </c>
      <c r="B148" s="17" t="s">
        <v>218</v>
      </c>
      <c r="C148" s="18">
        <v>429000</v>
      </c>
      <c r="D148" s="19">
        <f t="shared" si="4"/>
        <v>85800</v>
      </c>
      <c r="E148" s="20" t="str">
        <f t="shared" si="5"/>
        <v>MODEM MOTOROLA ISDN  EXT.64/128K 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17" t="s">
        <v>237</v>
      </c>
      <c r="B149" s="17" t="s">
        <v>220</v>
      </c>
      <c r="C149" s="18">
        <v>701000</v>
      </c>
      <c r="D149" s="19">
        <f t="shared" si="4"/>
        <v>140200</v>
      </c>
      <c r="E149" s="20" t="str">
        <f t="shared" si="5"/>
        <v>M/F ISDN DONATELLO EXT. 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17" t="s">
        <v>238</v>
      </c>
      <c r="B150" s="17"/>
      <c r="C150" s="18"/>
      <c r="D150" s="19">
        <f t="shared" si="4"/>
        <v>0</v>
      </c>
      <c r="E150" s="20" t="str">
        <f t="shared" si="5"/>
        <v xml:space="preserve">MULTIMEDIA 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17" t="s">
        <v>239</v>
      </c>
      <c r="B151" s="17" t="s">
        <v>240</v>
      </c>
      <c r="C151" s="18">
        <v>90000</v>
      </c>
      <c r="D151" s="19">
        <f t="shared" si="4"/>
        <v>18000</v>
      </c>
      <c r="E151" s="20" t="str">
        <f t="shared" si="5"/>
        <v>SOUND AXP201/U PCI 64 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17" t="s">
        <v>241</v>
      </c>
      <c r="B152" s="17" t="s">
        <v>242</v>
      </c>
      <c r="C152" s="18">
        <v>69000</v>
      </c>
      <c r="D152" s="19">
        <f t="shared" si="4"/>
        <v>13800</v>
      </c>
      <c r="E152" s="20" t="str">
        <f t="shared" si="5"/>
        <v>SOUND BLASTER 16 PnP  O.E.M. 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17" t="s">
        <v>243</v>
      </c>
      <c r="B153" s="17" t="s">
        <v>242</v>
      </c>
      <c r="C153" s="18">
        <v>89000</v>
      </c>
      <c r="D153" s="19">
        <f t="shared" si="4"/>
        <v>17800</v>
      </c>
      <c r="E153" s="20" t="str">
        <f t="shared" si="5"/>
        <v>SOUND BLASTER 16 PnP NO IDE 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17" t="s">
        <v>244</v>
      </c>
      <c r="B154" s="17" t="s">
        <v>242</v>
      </c>
      <c r="C154" s="18">
        <v>138000</v>
      </c>
      <c r="D154" s="19">
        <f t="shared" si="4"/>
        <v>27600</v>
      </c>
      <c r="E154" s="20" t="str">
        <f t="shared" si="5"/>
        <v>SOUND BLASTER AWE64 STD OEM 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17" t="s">
        <v>245</v>
      </c>
      <c r="B155" s="17" t="s">
        <v>242</v>
      </c>
      <c r="C155" s="18">
        <v>196000</v>
      </c>
      <c r="D155" s="19">
        <f t="shared" si="4"/>
        <v>39200</v>
      </c>
      <c r="E155" s="20" t="str">
        <f t="shared" si="5"/>
        <v>SOUND BLASTER AWE64 STANDARD 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17" t="s">
        <v>246</v>
      </c>
      <c r="B156" s="17" t="s">
        <v>242</v>
      </c>
      <c r="C156" s="18">
        <v>329000</v>
      </c>
      <c r="D156" s="19">
        <f t="shared" si="4"/>
        <v>65800</v>
      </c>
      <c r="E156" s="20" t="str">
        <f t="shared" si="5"/>
        <v>SOUND BLASTER AWE64 GOLD PNP 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17" t="s">
        <v>247</v>
      </c>
      <c r="B157" s="17" t="s">
        <v>242</v>
      </c>
      <c r="C157" s="18">
        <v>295000</v>
      </c>
      <c r="D157" s="19">
        <f t="shared" si="4"/>
        <v>59000</v>
      </c>
      <c r="E157" s="20" t="str">
        <f t="shared" si="5"/>
        <v>KIT "DISCOVERY AWE64" 24X PNP 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17" t="s">
        <v>248</v>
      </c>
      <c r="B158" s="17" t="s">
        <v>249</v>
      </c>
      <c r="C158" s="18">
        <v>19000</v>
      </c>
      <c r="D158" s="19">
        <f t="shared" si="4"/>
        <v>3800</v>
      </c>
      <c r="E158" s="20" t="str">
        <f t="shared" si="5"/>
        <v>SPEAKERS MLI-699 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17" t="s">
        <v>250</v>
      </c>
      <c r="B159" s="17" t="s">
        <v>251</v>
      </c>
      <c r="C159" s="18">
        <v>26000</v>
      </c>
      <c r="D159" s="19">
        <f t="shared" si="4"/>
        <v>5200</v>
      </c>
      <c r="E159" s="20" t="str">
        <f t="shared" si="5"/>
        <v>SPEAKER 25 W 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17" t="s">
        <v>252</v>
      </c>
      <c r="B160" s="17" t="s">
        <v>253</v>
      </c>
      <c r="C160" s="18">
        <v>28000</v>
      </c>
      <c r="D160" s="19">
        <f t="shared" si="4"/>
        <v>5600</v>
      </c>
      <c r="E160" s="20" t="str">
        <f t="shared" si="5"/>
        <v>SPEAKER PROFESSIONAL 70 W 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17" t="s">
        <v>254</v>
      </c>
      <c r="B161" s="17" t="s">
        <v>255</v>
      </c>
      <c r="C161" s="18">
        <v>56000</v>
      </c>
      <c r="D161" s="19">
        <f t="shared" si="4"/>
        <v>11200</v>
      </c>
      <c r="E161" s="20" t="str">
        <f t="shared" si="5"/>
        <v>ULTRA SPEAKER 130W 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17" t="s">
        <v>256</v>
      </c>
      <c r="B162" s="17"/>
      <c r="C162" s="18"/>
      <c r="D162" s="19">
        <f t="shared" si="4"/>
        <v>0</v>
      </c>
      <c r="E162" s="20" t="str">
        <f t="shared" si="5"/>
        <v xml:space="preserve">MICROPROCESSORI 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17" t="s">
        <v>257</v>
      </c>
      <c r="B163" s="17"/>
      <c r="C163" s="18">
        <v>216000</v>
      </c>
      <c r="D163" s="19">
        <f t="shared" si="4"/>
        <v>43200</v>
      </c>
      <c r="E163" s="20" t="str">
        <f t="shared" si="5"/>
        <v xml:space="preserve">PENTIUM 166 INTEL MMX 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17" t="s">
        <v>258</v>
      </c>
      <c r="B164" s="17"/>
      <c r="C164" s="18">
        <v>250000</v>
      </c>
      <c r="D164" s="19">
        <f t="shared" si="4"/>
        <v>50000</v>
      </c>
      <c r="E164" s="20" t="str">
        <f t="shared" si="5"/>
        <v xml:space="preserve">PENTIUM 200 INTEL MMX 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17" t="s">
        <v>259</v>
      </c>
      <c r="B165" s="17"/>
      <c r="C165" s="18">
        <v>382000</v>
      </c>
      <c r="D165" s="19">
        <f t="shared" si="4"/>
        <v>76400</v>
      </c>
      <c r="E165" s="20" t="str">
        <f t="shared" si="5"/>
        <v xml:space="preserve">PENTIUM 233 INTEL MMX 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17" t="s">
        <v>260</v>
      </c>
      <c r="B166" s="17"/>
      <c r="C166" s="18">
        <v>524000</v>
      </c>
      <c r="D166" s="19">
        <f t="shared" si="4"/>
        <v>104800</v>
      </c>
      <c r="E166" s="20" t="str">
        <f t="shared" si="5"/>
        <v xml:space="preserve">PENTIUM II 233 INTEL 512k 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17" t="s">
        <v>261</v>
      </c>
      <c r="B167" s="17"/>
      <c r="C167" s="18">
        <v>757000</v>
      </c>
      <c r="D167" s="19">
        <f t="shared" si="4"/>
        <v>151400</v>
      </c>
      <c r="E167" s="20" t="str">
        <f t="shared" si="5"/>
        <v xml:space="preserve">PENTIUM II 266 INTEL 512k 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17" t="s">
        <v>262</v>
      </c>
      <c r="B168" s="17"/>
      <c r="C168" s="18">
        <v>1045000</v>
      </c>
      <c r="D168" s="19">
        <f t="shared" si="4"/>
        <v>209000</v>
      </c>
      <c r="E168" s="20" t="str">
        <f t="shared" si="5"/>
        <v xml:space="preserve">PENTIUM II 300 INTEL 512K 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17" t="s">
        <v>263</v>
      </c>
      <c r="B169" s="17"/>
      <c r="C169" s="18">
        <v>1568000</v>
      </c>
      <c r="D169" s="19">
        <f t="shared" si="4"/>
        <v>313600</v>
      </c>
      <c r="E169" s="20" t="str">
        <f t="shared" si="5"/>
        <v xml:space="preserve">PENTIUM II 333 INTEL 512K 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17" t="s">
        <v>264</v>
      </c>
      <c r="B170" s="17"/>
      <c r="C170" s="18">
        <v>117000</v>
      </c>
      <c r="D170" s="19">
        <f t="shared" si="4"/>
        <v>23400</v>
      </c>
      <c r="E170" s="20" t="str">
        <f t="shared" si="5"/>
        <v xml:space="preserve">SGS P 166+ 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17" t="s">
        <v>265</v>
      </c>
      <c r="B171" s="17"/>
      <c r="C171" s="18">
        <v>158000</v>
      </c>
      <c r="D171" s="19">
        <f t="shared" si="4"/>
        <v>31600</v>
      </c>
      <c r="E171" s="20" t="str">
        <f t="shared" si="5"/>
        <v xml:space="preserve">IBM 200 MX 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17" t="s">
        <v>266</v>
      </c>
      <c r="B172" s="17"/>
      <c r="C172" s="18">
        <v>260000</v>
      </c>
      <c r="D172" s="19">
        <f t="shared" si="4"/>
        <v>52000</v>
      </c>
      <c r="E172" s="20" t="str">
        <f t="shared" si="5"/>
        <v xml:space="preserve">IBM 233 MX 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17" t="s">
        <v>267</v>
      </c>
      <c r="B173" s="17"/>
      <c r="C173" s="18">
        <v>193000</v>
      </c>
      <c r="D173" s="19">
        <f t="shared" si="4"/>
        <v>38600</v>
      </c>
      <c r="E173" s="20" t="str">
        <f t="shared" si="5"/>
        <v xml:space="preserve">AMD K6-166 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17" t="s">
        <v>268</v>
      </c>
      <c r="B174" s="17"/>
      <c r="C174" s="18">
        <v>270000</v>
      </c>
      <c r="D174" s="19">
        <f t="shared" si="4"/>
        <v>54000</v>
      </c>
      <c r="E174" s="20" t="str">
        <f t="shared" si="5"/>
        <v xml:space="preserve">AMD K6-200 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17" t="s">
        <v>269</v>
      </c>
      <c r="B175" s="17"/>
      <c r="C175" s="18">
        <v>314000</v>
      </c>
      <c r="D175" s="19">
        <f t="shared" si="4"/>
        <v>62800</v>
      </c>
      <c r="E175" s="20" t="str">
        <f t="shared" si="5"/>
        <v xml:space="preserve">AMD K6-233 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17" t="s">
        <v>270</v>
      </c>
      <c r="B176" s="17"/>
      <c r="C176" s="18">
        <v>894000</v>
      </c>
      <c r="D176" s="19">
        <f t="shared" si="4"/>
        <v>178800</v>
      </c>
      <c r="E176" s="20" t="str">
        <f t="shared" si="5"/>
        <v xml:space="preserve">PENTIUM PRO 180 MZH 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17" t="s">
        <v>271</v>
      </c>
      <c r="B177" s="17"/>
      <c r="C177" s="18">
        <v>1040000</v>
      </c>
      <c r="D177" s="19">
        <f t="shared" si="4"/>
        <v>208000</v>
      </c>
      <c r="E177" s="20" t="str">
        <f t="shared" si="5"/>
        <v xml:space="preserve">PENTIUM PRO 200 MZH 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17" t="s">
        <v>272</v>
      </c>
      <c r="B178" s="17"/>
      <c r="C178" s="18">
        <v>8000</v>
      </c>
      <c r="D178" s="19">
        <f t="shared" si="4"/>
        <v>1600</v>
      </c>
      <c r="E178" s="20" t="str">
        <f t="shared" si="5"/>
        <v xml:space="preserve">VENTOLINA PENTIUM 75-166 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17" t="s">
        <v>273</v>
      </c>
      <c r="B179" s="17"/>
      <c r="C179" s="18">
        <v>10000</v>
      </c>
      <c r="D179" s="19">
        <f t="shared" si="4"/>
        <v>2000</v>
      </c>
      <c r="E179" s="20" t="str">
        <f t="shared" si="5"/>
        <v xml:space="preserve">VENTOLINA PENTIUM 200 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17" t="s">
        <v>274</v>
      </c>
      <c r="B180" s="17"/>
      <c r="C180" s="18">
        <v>24000</v>
      </c>
      <c r="D180" s="19">
        <f t="shared" si="4"/>
        <v>4800</v>
      </c>
      <c r="E180" s="20" t="str">
        <f t="shared" si="5"/>
        <v xml:space="preserve">VENTOLA PER PENTIUM PRO 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17" t="s">
        <v>275</v>
      </c>
      <c r="B181" s="17" t="s">
        <v>128</v>
      </c>
      <c r="C181" s="18">
        <v>11000</v>
      </c>
      <c r="D181" s="19">
        <f t="shared" si="4"/>
        <v>2200</v>
      </c>
      <c r="E181" s="20" t="str">
        <f t="shared" si="5"/>
        <v xml:space="preserve">VENTOLINA PER IBM/CYRIX 686 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17" t="s">
        <v>276</v>
      </c>
      <c r="B182" s="17" t="s">
        <v>128</v>
      </c>
      <c r="C182" s="18">
        <v>10000</v>
      </c>
      <c r="D182" s="19">
        <f t="shared" si="4"/>
        <v>2000</v>
      </c>
      <c r="E182" s="20" t="str">
        <f t="shared" si="5"/>
        <v xml:space="preserve">VENTOLA 3 PIN per TX97 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17" t="s">
        <v>277</v>
      </c>
      <c r="B183" s="17" t="s">
        <v>128</v>
      </c>
      <c r="C183" s="18">
        <v>26000</v>
      </c>
      <c r="D183" s="19">
        <f t="shared" si="4"/>
        <v>5200</v>
      </c>
      <c r="E183" s="20" t="str">
        <f t="shared" si="5"/>
        <v xml:space="preserve">VENTOLA PENTIUM II 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17" t="s">
        <v>278</v>
      </c>
      <c r="B184" s="17"/>
      <c r="C184" s="18"/>
      <c r="D184" s="19">
        <f t="shared" si="4"/>
        <v>0</v>
      </c>
      <c r="E184" s="20" t="str">
        <f t="shared" si="5"/>
        <v xml:space="preserve">TASTIERE 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17" t="s">
        <v>279</v>
      </c>
      <c r="B185" s="17" t="s">
        <v>280</v>
      </c>
      <c r="C185" s="18">
        <v>22000</v>
      </c>
      <c r="D185" s="19">
        <f t="shared" si="4"/>
        <v>4400</v>
      </c>
      <c r="E185" s="20" t="str">
        <f t="shared" si="5"/>
        <v>TAST. ITA 105 TASTI WIN 95 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17" t="s">
        <v>281</v>
      </c>
      <c r="B186" s="17" t="s">
        <v>282</v>
      </c>
      <c r="C186" s="18">
        <v>63000</v>
      </c>
      <c r="D186" s="19">
        <f t="shared" si="4"/>
        <v>12600</v>
      </c>
      <c r="E186" s="20" t="str">
        <f t="shared" si="5"/>
        <v>TAST. ITA   79t 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17" t="s">
        <v>283</v>
      </c>
      <c r="B187" s="17" t="s">
        <v>282</v>
      </c>
      <c r="C187" s="18">
        <v>63000</v>
      </c>
      <c r="D187" s="19">
        <f t="shared" si="4"/>
        <v>12600</v>
      </c>
      <c r="E187" s="20" t="str">
        <f t="shared" si="5"/>
        <v>TAST. USA 79t 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17" t="s">
        <v>284</v>
      </c>
      <c r="B188" s="17" t="s">
        <v>282</v>
      </c>
      <c r="C188" s="18">
        <v>26000</v>
      </c>
      <c r="D188" s="19">
        <f t="shared" si="4"/>
        <v>5200</v>
      </c>
      <c r="E188" s="20" t="str">
        <f t="shared" si="5"/>
        <v>TAST. USA 105 TASTI WIN95 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17" t="s">
        <v>285</v>
      </c>
      <c r="B189" s="17" t="s">
        <v>286</v>
      </c>
      <c r="C189" s="18">
        <v>25000</v>
      </c>
      <c r="D189" s="19">
        <f t="shared" si="4"/>
        <v>5000</v>
      </c>
      <c r="E189" s="20" t="str">
        <f t="shared" si="5"/>
        <v>TAST. ITA  105 TASTI NMB, WIN95 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17" t="s">
        <v>287</v>
      </c>
      <c r="B190" s="17" t="s">
        <v>286</v>
      </c>
      <c r="C190" s="18">
        <v>25000</v>
      </c>
      <c r="D190" s="19">
        <f t="shared" si="4"/>
        <v>5000</v>
      </c>
      <c r="E190" s="20" t="str">
        <f t="shared" si="5"/>
        <v>TAST. ITA  105 TASTI NMB, PS/2 WIN95 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17" t="s">
        <v>288</v>
      </c>
      <c r="B191" s="17" t="s">
        <v>286</v>
      </c>
      <c r="C191" s="18">
        <v>46000</v>
      </c>
      <c r="D191" s="19">
        <f t="shared" si="4"/>
        <v>9200</v>
      </c>
      <c r="E191" s="20" t="str">
        <f t="shared" si="5"/>
        <v>TAST. ITA 105 TASTI "CYPRESS"  WIN95 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17" t="s">
        <v>289</v>
      </c>
      <c r="B192" s="17"/>
      <c r="C192" s="18"/>
      <c r="D192" s="19">
        <f t="shared" si="4"/>
        <v>0</v>
      </c>
      <c r="E192" s="20" t="str">
        <f t="shared" si="5"/>
        <v xml:space="preserve">SCANNER E ACCESSORI 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17" t="s">
        <v>290</v>
      </c>
      <c r="B193" s="17" t="s">
        <v>291</v>
      </c>
      <c r="C193" s="18">
        <v>37000</v>
      </c>
      <c r="D193" s="19">
        <f t="shared" si="4"/>
        <v>7400</v>
      </c>
      <c r="E193" s="20" t="str">
        <f t="shared" si="5"/>
        <v>MOUSE  PILOT SERIALE 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17" t="s">
        <v>292</v>
      </c>
      <c r="B194" s="17" t="s">
        <v>291</v>
      </c>
      <c r="C194" s="18">
        <v>37000</v>
      </c>
      <c r="D194" s="19">
        <f t="shared" si="4"/>
        <v>7400</v>
      </c>
      <c r="E194" s="20" t="str">
        <f t="shared" si="5"/>
        <v>MOUSE  PILOT P/S2 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17" t="s">
        <v>293</v>
      </c>
      <c r="B195" s="17" t="s">
        <v>294</v>
      </c>
      <c r="C195" s="18">
        <v>11000</v>
      </c>
      <c r="D195" s="19">
        <f t="shared" ref="D195:D258" si="6">+C195*0.2</f>
        <v>2200</v>
      </c>
      <c r="E195" s="20" t="str">
        <f t="shared" ref="E195:E258" si="7">_xlfn.CONCAT(A195," ",B195)</f>
        <v>MOUSE SERIALE 3 TASTI 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17" t="s">
        <v>295</v>
      </c>
      <c r="B196" s="17" t="s">
        <v>294</v>
      </c>
      <c r="C196" s="18">
        <v>46000</v>
      </c>
      <c r="D196" s="19">
        <f t="shared" si="6"/>
        <v>9200</v>
      </c>
      <c r="E196" s="20" t="str">
        <f t="shared" si="7"/>
        <v>MOUSE TRACKBALL 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17" t="s">
        <v>296</v>
      </c>
      <c r="B197" s="17" t="s">
        <v>294</v>
      </c>
      <c r="C197" s="18">
        <v>19000</v>
      </c>
      <c r="D197" s="19">
        <f t="shared" si="6"/>
        <v>3800</v>
      </c>
      <c r="E197" s="20" t="str">
        <f t="shared" si="7"/>
        <v>MOUSE "RAINBOW" SERIALE 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17" t="s">
        <v>297</v>
      </c>
      <c r="B198" s="17" t="s">
        <v>294</v>
      </c>
      <c r="C198" s="18">
        <v>13000</v>
      </c>
      <c r="D198" s="19">
        <f t="shared" si="6"/>
        <v>2600</v>
      </c>
      <c r="E198" s="20" t="str">
        <f t="shared" si="7"/>
        <v>MOUSE  ECHO PS/2 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17" t="s">
        <v>298</v>
      </c>
      <c r="B199" s="17" t="s">
        <v>294</v>
      </c>
      <c r="C199" s="18">
        <v>26000</v>
      </c>
      <c r="D199" s="19">
        <f t="shared" si="6"/>
        <v>5200</v>
      </c>
      <c r="E199" s="20" t="str">
        <f t="shared" si="7"/>
        <v>VENUS MOUSE SERIALE 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17" t="s">
        <v>299</v>
      </c>
      <c r="B200" s="17" t="s">
        <v>294</v>
      </c>
      <c r="C200" s="18">
        <v>26000</v>
      </c>
      <c r="D200" s="19">
        <f t="shared" si="6"/>
        <v>5200</v>
      </c>
      <c r="E200" s="20" t="str">
        <f t="shared" si="7"/>
        <v>VENUS MOUSE PS/2 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17" t="s">
        <v>300</v>
      </c>
      <c r="B201" s="17" t="s">
        <v>294</v>
      </c>
      <c r="C201" s="18">
        <v>20000</v>
      </c>
      <c r="D201" s="19">
        <f t="shared" si="6"/>
        <v>4000</v>
      </c>
      <c r="E201" s="20" t="str">
        <f t="shared" si="7"/>
        <v>JOYSTICK DIGITALE 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17" t="s">
        <v>301</v>
      </c>
      <c r="B202" s="17" t="s">
        <v>294</v>
      </c>
      <c r="C202" s="18">
        <v>49000</v>
      </c>
      <c r="D202" s="19">
        <f t="shared" si="6"/>
        <v>9800</v>
      </c>
      <c r="E202" s="20" t="str">
        <f t="shared" si="7"/>
        <v>JOYSTICK ULTRASTRIKER 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17" t="s">
        <v>302</v>
      </c>
      <c r="B203" s="17" t="s">
        <v>294</v>
      </c>
      <c r="C203" s="18">
        <v>33000</v>
      </c>
      <c r="D203" s="19">
        <f t="shared" si="6"/>
        <v>6600</v>
      </c>
      <c r="E203" s="20" t="str">
        <f t="shared" si="7"/>
        <v>NAVIGATOR MOUSE 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17" t="s">
        <v>303</v>
      </c>
      <c r="B204" s="17" t="s">
        <v>294</v>
      </c>
      <c r="C204" s="18">
        <v>68000</v>
      </c>
      <c r="D204" s="19">
        <f t="shared" si="6"/>
        <v>13600</v>
      </c>
      <c r="E204" s="20" t="str">
        <f t="shared" si="7"/>
        <v>JOYSTICK EXCALIBUR 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17" t="s">
        <v>304</v>
      </c>
      <c r="B205" s="17" t="s">
        <v>294</v>
      </c>
      <c r="C205" s="18">
        <v>33000</v>
      </c>
      <c r="D205" s="19">
        <f t="shared" si="6"/>
        <v>6600</v>
      </c>
      <c r="E205" s="20" t="str">
        <f t="shared" si="7"/>
        <v>GAMEPAD CONQUEROR 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17" t="s">
        <v>305</v>
      </c>
      <c r="B206" s="17" t="s">
        <v>294</v>
      </c>
      <c r="C206" s="18">
        <v>147000</v>
      </c>
      <c r="D206" s="19">
        <f t="shared" si="6"/>
        <v>29400</v>
      </c>
      <c r="E206" s="20" t="str">
        <f t="shared" si="7"/>
        <v>COLOR HAND SCANNER 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17" t="s">
        <v>306</v>
      </c>
      <c r="B207" s="17" t="s">
        <v>294</v>
      </c>
      <c r="C207" s="18">
        <v>151000</v>
      </c>
      <c r="D207" s="19">
        <f t="shared" si="6"/>
        <v>30200</v>
      </c>
      <c r="E207" s="20" t="str">
        <f t="shared" si="7"/>
        <v>SCANNER COLORADO 4800 SW + OCR 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17" t="s">
        <v>307</v>
      </c>
      <c r="B208" s="17" t="s">
        <v>294</v>
      </c>
      <c r="C208" s="18">
        <v>197000</v>
      </c>
      <c r="D208" s="19">
        <f t="shared" si="6"/>
        <v>39400</v>
      </c>
      <c r="E208" s="20" t="str">
        <f t="shared" si="7"/>
        <v>SCANNER COLORADO D600 SW + OCR 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17" t="s">
        <v>308</v>
      </c>
      <c r="B209" s="17" t="s">
        <v>294</v>
      </c>
      <c r="C209" s="18">
        <v>310000</v>
      </c>
      <c r="D209" s="19">
        <f t="shared" si="6"/>
        <v>62000</v>
      </c>
      <c r="E209" s="20" t="str">
        <f t="shared" si="7"/>
        <v>SCANNER  DIRECT 9600 SW + OCR 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17" t="s">
        <v>309</v>
      </c>
      <c r="B210" s="17" t="s">
        <v>294</v>
      </c>
      <c r="C210" s="18">
        <v>271000</v>
      </c>
      <c r="D210" s="19">
        <f t="shared" si="6"/>
        <v>54200</v>
      </c>
      <c r="E210" s="20" t="str">
        <f t="shared" si="7"/>
        <v>SCANNER  JEWEL 4800 SCSI 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17" t="s">
        <v>310</v>
      </c>
      <c r="B211" s="17" t="s">
        <v>294</v>
      </c>
      <c r="C211" s="18">
        <v>458000</v>
      </c>
      <c r="D211" s="19">
        <f t="shared" si="6"/>
        <v>91600</v>
      </c>
      <c r="E211" s="20" t="str">
        <f t="shared" si="7"/>
        <v>SCANNER PROFI  9600 SCSI 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17" t="s">
        <v>311</v>
      </c>
      <c r="B212" s="17" t="s">
        <v>294</v>
      </c>
      <c r="C212" s="18">
        <v>412000</v>
      </c>
      <c r="D212" s="19">
        <f t="shared" si="6"/>
        <v>82400</v>
      </c>
      <c r="E212" s="20" t="str">
        <f t="shared" si="7"/>
        <v>SCANNER PHODOX U. S. 300 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17" t="s">
        <v>312</v>
      </c>
      <c r="B213" s="17" t="s">
        <v>313</v>
      </c>
      <c r="C213" s="18">
        <v>807000</v>
      </c>
      <c r="D213" s="19">
        <f t="shared" si="6"/>
        <v>161400</v>
      </c>
      <c r="E213" s="20" t="str">
        <f t="shared" si="7"/>
        <v>FILMSCAN-200PC 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17" t="s">
        <v>314</v>
      </c>
      <c r="B214" s="17"/>
      <c r="C214" s="18">
        <v>4000</v>
      </c>
      <c r="D214" s="19">
        <f t="shared" si="6"/>
        <v>800</v>
      </c>
      <c r="E214" s="20" t="str">
        <f t="shared" si="7"/>
        <v xml:space="preserve">TAPPETINO PER MOUSE 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17" t="s">
        <v>315</v>
      </c>
      <c r="B215" s="17"/>
      <c r="C215" s="18">
        <v>81000</v>
      </c>
      <c r="D215" s="19">
        <f t="shared" si="6"/>
        <v>16200</v>
      </c>
      <c r="E215" s="20" t="str">
        <f t="shared" si="7"/>
        <v xml:space="preserve">ALIMENTATORE 200 W CE 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17" t="s">
        <v>316</v>
      </c>
      <c r="B216" s="17"/>
      <c r="C216" s="18">
        <v>125000</v>
      </c>
      <c r="D216" s="19">
        <f t="shared" si="6"/>
        <v>25000</v>
      </c>
      <c r="E216" s="20" t="str">
        <f t="shared" si="7"/>
        <v xml:space="preserve">ALIMENTATORE 250 W CE ATX 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17" t="s">
        <v>317</v>
      </c>
      <c r="B217" s="17"/>
      <c r="C217" s="18">
        <v>98000</v>
      </c>
      <c r="D217" s="19">
        <f t="shared" si="6"/>
        <v>19600</v>
      </c>
      <c r="E217" s="20" t="str">
        <f t="shared" si="7"/>
        <v xml:space="preserve">ALIMENTATORE 230 W CE ATX 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17" t="s">
        <v>318</v>
      </c>
      <c r="B218" s="17"/>
      <c r="C218" s="18">
        <v>140000</v>
      </c>
      <c r="D218" s="19">
        <f t="shared" si="6"/>
        <v>28000</v>
      </c>
      <c r="E218" s="20" t="str">
        <f t="shared" si="7"/>
        <v xml:space="preserve">ALIMENTATORE 300 W CE ATX 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17" t="s">
        <v>319</v>
      </c>
      <c r="B219" s="17" t="s">
        <v>320</v>
      </c>
      <c r="C219" s="18">
        <v>5000</v>
      </c>
      <c r="D219" s="19">
        <f t="shared" si="6"/>
        <v>1000</v>
      </c>
      <c r="E219" s="20" t="str">
        <f t="shared" si="7"/>
        <v>CAVO PARALLELO STAMP. MT 1,8 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17" t="s">
        <v>319</v>
      </c>
      <c r="B220" s="17" t="s">
        <v>321</v>
      </c>
      <c r="C220" s="18">
        <v>6000</v>
      </c>
      <c r="D220" s="19">
        <f t="shared" si="6"/>
        <v>1200</v>
      </c>
      <c r="E220" s="20" t="str">
        <f t="shared" si="7"/>
        <v>CAVO PARALLELO STAMP. MT 1,8 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17" t="s">
        <v>322</v>
      </c>
      <c r="B221" s="17"/>
      <c r="C221" s="18">
        <v>9000</v>
      </c>
      <c r="D221" s="19">
        <f t="shared" si="6"/>
        <v>1800</v>
      </c>
      <c r="E221" s="20" t="str">
        <f t="shared" si="7"/>
        <v xml:space="preserve">CAVO PARALLELO STAMP. MT 3 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17" t="s">
        <v>323</v>
      </c>
      <c r="B222" s="17" t="s">
        <v>324</v>
      </c>
      <c r="C222" s="18">
        <v>8000</v>
      </c>
      <c r="D222" s="19">
        <f t="shared" si="6"/>
        <v>1600</v>
      </c>
      <c r="E222" s="20" t="str">
        <f t="shared" si="7"/>
        <v>CONNETTORE MOUSE PS/2 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17" t="s">
        <v>325</v>
      </c>
      <c r="B223" s="17"/>
      <c r="C223" s="18">
        <v>11000</v>
      </c>
      <c r="D223" s="19">
        <f t="shared" si="6"/>
        <v>2200</v>
      </c>
      <c r="E223" s="20" t="str">
        <f t="shared" si="7"/>
        <v xml:space="preserve">CONNETTORE TASTIERA PS/2 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17" t="s">
        <v>326</v>
      </c>
      <c r="B224" s="17" t="s">
        <v>327</v>
      </c>
      <c r="C224" s="18">
        <v>21000</v>
      </c>
      <c r="D224" s="19">
        <f t="shared" si="6"/>
        <v>4200</v>
      </c>
      <c r="E224" s="20" t="str">
        <f t="shared" si="7"/>
        <v>CONNETTORE USB/MIR 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17" t="s">
        <v>328</v>
      </c>
      <c r="B225" s="17" t="s">
        <v>294</v>
      </c>
      <c r="C225" s="18">
        <v>14000</v>
      </c>
      <c r="D225" s="19">
        <f t="shared" si="6"/>
        <v>2800</v>
      </c>
      <c r="E225" s="20" t="str">
        <f t="shared" si="7"/>
        <v>DATA-SWITCH 2/1 MANUALE 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17" t="s">
        <v>329</v>
      </c>
      <c r="B226" s="17" t="s">
        <v>294</v>
      </c>
      <c r="C226" s="18">
        <v>23000</v>
      </c>
      <c r="D226" s="19">
        <f t="shared" si="6"/>
        <v>4600</v>
      </c>
      <c r="E226" s="20" t="str">
        <f t="shared" si="7"/>
        <v>DATA-SWITCH 2/2 MANUALE 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17" t="s">
        <v>330</v>
      </c>
      <c r="B227" s="17" t="s">
        <v>294</v>
      </c>
      <c r="C227" s="18">
        <v>51000</v>
      </c>
      <c r="D227" s="19">
        <f t="shared" si="6"/>
        <v>10200</v>
      </c>
      <c r="E227" s="20" t="str">
        <f t="shared" si="7"/>
        <v>DATA-SWITCH 2/1 BIDIREZ. 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17" t="s">
        <v>331</v>
      </c>
      <c r="B228" s="17"/>
      <c r="C228" s="18"/>
      <c r="D228" s="19">
        <f t="shared" si="6"/>
        <v>0</v>
      </c>
      <c r="E228" s="20" t="str">
        <f t="shared" si="7"/>
        <v xml:space="preserve">SOFTWARE 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17" t="s">
        <v>332</v>
      </c>
      <c r="B229" s="17" t="s">
        <v>333</v>
      </c>
      <c r="C229" s="18">
        <v>198000</v>
      </c>
      <c r="D229" s="19">
        <f t="shared" si="6"/>
        <v>39600</v>
      </c>
      <c r="E229" s="20" t="str">
        <f t="shared" si="7"/>
        <v>COMBO DOS6.22+WIN3.11+DSK.MAN. 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17" t="s">
        <v>334</v>
      </c>
      <c r="B230" s="17" t="s">
        <v>333</v>
      </c>
      <c r="C230" s="18">
        <v>167000</v>
      </c>
      <c r="D230" s="19">
        <f t="shared" si="6"/>
        <v>33400</v>
      </c>
      <c r="E230" s="20" t="str">
        <f t="shared" si="7"/>
        <v>WINDOWS 95, MANUALI + CD 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17" t="s">
        <v>335</v>
      </c>
      <c r="B231" s="17" t="s">
        <v>336</v>
      </c>
      <c r="C231" s="18">
        <v>95000</v>
      </c>
      <c r="D231" s="19">
        <f t="shared" si="6"/>
        <v>19000</v>
      </c>
      <c r="E231" s="20" t="str">
        <f t="shared" si="7"/>
        <v>LICENZA STUDENTE SISTEMI 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17" t="s">
        <v>337</v>
      </c>
      <c r="B232" s="17" t="s">
        <v>336</v>
      </c>
      <c r="C232" s="18">
        <v>141000</v>
      </c>
      <c r="D232" s="19">
        <f t="shared" si="6"/>
        <v>28200</v>
      </c>
      <c r="E232" s="20" t="str">
        <f t="shared" si="7"/>
        <v>LICENZA STUDENTE APPLICAZIONI 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17" t="s">
        <v>338</v>
      </c>
      <c r="B233" s="17" t="s">
        <v>333</v>
      </c>
      <c r="C233" s="18">
        <v>351000</v>
      </c>
      <c r="D233" s="19">
        <f t="shared" si="6"/>
        <v>70200</v>
      </c>
      <c r="E233" s="20" t="str">
        <f t="shared" si="7"/>
        <v>WIN NT WORKSTATION 4.0 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17" t="s">
        <v>339</v>
      </c>
      <c r="B234" s="17" t="s">
        <v>340</v>
      </c>
      <c r="C234" s="18">
        <v>414000</v>
      </c>
      <c r="D234" s="19">
        <f t="shared" si="6"/>
        <v>82800</v>
      </c>
      <c r="E234" s="20" t="str">
        <f t="shared" si="7"/>
        <v>OFFICE SMALL BUSINESS 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17" t="s">
        <v>341</v>
      </c>
      <c r="B235" s="17" t="s">
        <v>333</v>
      </c>
      <c r="C235" s="18">
        <v>61000</v>
      </c>
      <c r="D235" s="19">
        <f t="shared" si="6"/>
        <v>12200</v>
      </c>
      <c r="E235" s="20" t="str">
        <f t="shared" si="7"/>
        <v>WORKS 4.5 ITA, MANUALI + CD 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17" t="s">
        <v>342</v>
      </c>
      <c r="B236" s="17" t="s">
        <v>333</v>
      </c>
      <c r="C236" s="18">
        <v>893000</v>
      </c>
      <c r="D236" s="19">
        <f t="shared" si="6"/>
        <v>178600</v>
      </c>
      <c r="E236" s="20" t="str">
        <f t="shared" si="7"/>
        <v>FIVE PACK WIN 95 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17" t="s">
        <v>343</v>
      </c>
      <c r="B237" s="17" t="s">
        <v>333</v>
      </c>
      <c r="C237" s="18">
        <v>985000</v>
      </c>
      <c r="D237" s="19">
        <f t="shared" si="6"/>
        <v>197000</v>
      </c>
      <c r="E237" s="20" t="str">
        <f t="shared" si="7"/>
        <v>FIVE PACK COMBO WIN3.11-DOS 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17" t="s">
        <v>344</v>
      </c>
      <c r="B238" s="17" t="s">
        <v>333</v>
      </c>
      <c r="C238" s="18">
        <v>296000</v>
      </c>
      <c r="D238" s="19">
        <f t="shared" si="6"/>
        <v>59200</v>
      </c>
      <c r="E238" s="20" t="str">
        <f t="shared" si="7"/>
        <v>FIVE PACK WORKS 4.5 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17" t="s">
        <v>345</v>
      </c>
      <c r="B239" s="17" t="s">
        <v>333</v>
      </c>
      <c r="C239" s="18">
        <v>685000</v>
      </c>
      <c r="D239" s="19">
        <f t="shared" si="6"/>
        <v>137000</v>
      </c>
      <c r="E239" s="20" t="str">
        <f t="shared" si="7"/>
        <v>3-PACK  HOME ESSENTIALS 98 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17" t="s">
        <v>346</v>
      </c>
      <c r="B240" s="17" t="s">
        <v>333</v>
      </c>
      <c r="C240" s="18">
        <v>1138000</v>
      </c>
      <c r="D240" s="19">
        <f t="shared" si="6"/>
        <v>227600</v>
      </c>
      <c r="E240" s="20" t="str">
        <f t="shared" si="7"/>
        <v>3-PACK WIN NT WORKSTATION 4.0 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17" t="s">
        <v>347</v>
      </c>
      <c r="B241" s="17" t="s">
        <v>333</v>
      </c>
      <c r="C241" s="18">
        <v>1334000</v>
      </c>
      <c r="D241" s="19">
        <f t="shared" si="6"/>
        <v>266800</v>
      </c>
      <c r="E241" s="20" t="str">
        <f t="shared" si="7"/>
        <v>3-PACK OFFICE SMALL BUSINESS 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17" t="s">
        <v>348</v>
      </c>
      <c r="B242" s="17" t="s">
        <v>128</v>
      </c>
      <c r="C242" s="18">
        <v>30000</v>
      </c>
      <c r="D242" s="19">
        <f t="shared" si="6"/>
        <v>6000</v>
      </c>
      <c r="E242" s="20" t="str">
        <f t="shared" si="7"/>
        <v xml:space="preserve">CD VIDEOGUIDA  WIN'95 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17" t="s">
        <v>349</v>
      </c>
      <c r="B243" s="17" t="s">
        <v>128</v>
      </c>
      <c r="C243" s="18">
        <v>30000</v>
      </c>
      <c r="D243" s="19">
        <f t="shared" si="6"/>
        <v>6000</v>
      </c>
      <c r="E243" s="20" t="str">
        <f t="shared" si="7"/>
        <v xml:space="preserve">CD VIDEGUIDA INTERNET 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17" t="s">
        <v>350</v>
      </c>
      <c r="B244" s="17" t="s">
        <v>351</v>
      </c>
      <c r="C244" s="18">
        <v>406000</v>
      </c>
      <c r="D244" s="19">
        <f t="shared" si="6"/>
        <v>81200</v>
      </c>
      <c r="E244" s="20" t="str">
        <f t="shared" si="7"/>
        <v>WINDOWS 95 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17" t="s">
        <v>352</v>
      </c>
      <c r="B245" s="17" t="s">
        <v>351</v>
      </c>
      <c r="C245" s="18">
        <v>197000</v>
      </c>
      <c r="D245" s="19">
        <f t="shared" si="6"/>
        <v>39400</v>
      </c>
      <c r="E245" s="20" t="str">
        <f t="shared" si="7"/>
        <v>WINDOWS 95 Lic. Agg. 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17" t="s">
        <v>353</v>
      </c>
      <c r="B246" s="17" t="s">
        <v>351</v>
      </c>
      <c r="C246" s="18">
        <v>645000</v>
      </c>
      <c r="D246" s="19">
        <f t="shared" si="6"/>
        <v>129000</v>
      </c>
      <c r="E246" s="20" t="str">
        <f t="shared" si="7"/>
        <v>EXCEL 7.0 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17" t="s">
        <v>354</v>
      </c>
      <c r="B247" s="17" t="s">
        <v>351</v>
      </c>
      <c r="C247" s="18">
        <v>645000</v>
      </c>
      <c r="D247" s="19">
        <f t="shared" si="6"/>
        <v>129000</v>
      </c>
      <c r="E247" s="20" t="str">
        <f t="shared" si="7"/>
        <v>EXCEL 97 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17" t="s">
        <v>355</v>
      </c>
      <c r="B248" s="17" t="s">
        <v>351</v>
      </c>
      <c r="C248" s="18">
        <v>259000</v>
      </c>
      <c r="D248" s="19">
        <f t="shared" si="6"/>
        <v>51800</v>
      </c>
      <c r="E248" s="20" t="str">
        <f t="shared" si="7"/>
        <v>EXCEL 97 Agg. 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17" t="s">
        <v>356</v>
      </c>
      <c r="B249" s="17" t="s">
        <v>351</v>
      </c>
      <c r="C249" s="18">
        <v>646000</v>
      </c>
      <c r="D249" s="19">
        <f t="shared" si="6"/>
        <v>129200</v>
      </c>
      <c r="E249" s="20" t="str">
        <f t="shared" si="7"/>
        <v>WORD 97 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17" t="s">
        <v>357</v>
      </c>
      <c r="B250" s="17" t="s">
        <v>351</v>
      </c>
      <c r="C250" s="18">
        <v>259000</v>
      </c>
      <c r="D250" s="19">
        <f t="shared" si="6"/>
        <v>51800</v>
      </c>
      <c r="E250" s="20" t="str">
        <f t="shared" si="7"/>
        <v>WORD 97 Agg. 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17" t="s">
        <v>358</v>
      </c>
      <c r="B251" s="17" t="s">
        <v>351</v>
      </c>
      <c r="C251" s="18">
        <v>645000</v>
      </c>
      <c r="D251" s="19">
        <f t="shared" si="6"/>
        <v>129000</v>
      </c>
      <c r="E251" s="20" t="str">
        <f t="shared" si="7"/>
        <v>ACCESS 97 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17" t="s">
        <v>359</v>
      </c>
      <c r="B252" s="17" t="s">
        <v>351</v>
      </c>
      <c r="C252" s="18">
        <v>879000</v>
      </c>
      <c r="D252" s="19">
        <f t="shared" si="6"/>
        <v>175800</v>
      </c>
      <c r="E252" s="20" t="str">
        <f t="shared" si="7"/>
        <v>OFFICE 97 SMALL BUSINESS 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17" t="s">
        <v>360</v>
      </c>
      <c r="B253" s="17" t="s">
        <v>351</v>
      </c>
      <c r="C253" s="18">
        <v>259000</v>
      </c>
      <c r="D253" s="19">
        <f t="shared" si="6"/>
        <v>51800</v>
      </c>
      <c r="E253" s="20" t="str">
        <f t="shared" si="7"/>
        <v>HOME ESSENTIALS 98 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17" t="s">
        <v>361</v>
      </c>
      <c r="B254" s="17" t="s">
        <v>351</v>
      </c>
      <c r="C254" s="18">
        <v>274000</v>
      </c>
      <c r="D254" s="19">
        <f t="shared" si="6"/>
        <v>54800</v>
      </c>
      <c r="E254" s="20" t="str">
        <f t="shared" si="7"/>
        <v>FRONTPAGE 98 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17" t="s">
        <v>362</v>
      </c>
      <c r="B255" s="17" t="s">
        <v>351</v>
      </c>
      <c r="C255" s="18">
        <v>975000</v>
      </c>
      <c r="D255" s="19">
        <f t="shared" si="6"/>
        <v>195000</v>
      </c>
      <c r="E255" s="20" t="str">
        <f t="shared" si="7"/>
        <v>OFFICE '97 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17" t="s">
        <v>363</v>
      </c>
      <c r="B256" s="17" t="s">
        <v>351</v>
      </c>
      <c r="C256" s="18">
        <v>480000</v>
      </c>
      <c r="D256" s="19">
        <f t="shared" si="6"/>
        <v>96000</v>
      </c>
      <c r="E256" s="20" t="str">
        <f t="shared" si="7"/>
        <v>OFFICE '97 Agg. 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17" t="s">
        <v>364</v>
      </c>
      <c r="B257" s="17" t="s">
        <v>351</v>
      </c>
      <c r="C257" s="18">
        <v>1187000</v>
      </c>
      <c r="D257" s="19">
        <f t="shared" si="6"/>
        <v>237400</v>
      </c>
      <c r="E257" s="20" t="str">
        <f t="shared" si="7"/>
        <v>OFFICE '97 Professional 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17" t="s">
        <v>365</v>
      </c>
      <c r="B258" s="17" t="s">
        <v>351</v>
      </c>
      <c r="C258" s="18">
        <v>832000</v>
      </c>
      <c r="D258" s="19">
        <f t="shared" si="6"/>
        <v>166400</v>
      </c>
      <c r="E258" s="20" t="str">
        <f t="shared" si="7"/>
        <v>OFFICE '97 Professional Agg. 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17" t="s">
        <v>366</v>
      </c>
      <c r="B259" s="17" t="s">
        <v>351</v>
      </c>
      <c r="C259" s="18">
        <v>227000</v>
      </c>
      <c r="D259" s="19">
        <f t="shared" ref="D259:D322" si="8">+C259*0.2</f>
        <v>45400</v>
      </c>
      <c r="E259" s="20" t="str">
        <f t="shared" ref="E259:E322" si="9">_xlfn.CONCAT(A259," ",B259)</f>
        <v>VISUAL BASIC 4.0 STD 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17" t="s">
        <v>367</v>
      </c>
      <c r="B260" s="17" t="s">
        <v>351</v>
      </c>
      <c r="C260" s="18">
        <v>98000</v>
      </c>
      <c r="D260" s="19">
        <f t="shared" si="8"/>
        <v>19600</v>
      </c>
      <c r="E260" s="20" t="str">
        <f t="shared" si="9"/>
        <v>VISUAL BASIC 4.0 Agg. 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17" t="s">
        <v>368</v>
      </c>
      <c r="B261" s="17" t="s">
        <v>351</v>
      </c>
      <c r="C261" s="18">
        <v>1190000</v>
      </c>
      <c r="D261" s="19">
        <f t="shared" si="8"/>
        <v>238000</v>
      </c>
      <c r="E261" s="20" t="str">
        <f t="shared" si="9"/>
        <v>VISUAL BASIC 4.0 PROFESSIONAL 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17" t="s">
        <v>369</v>
      </c>
      <c r="B262" s="17" t="s">
        <v>351</v>
      </c>
      <c r="C262" s="18">
        <v>300000</v>
      </c>
      <c r="D262" s="19">
        <f t="shared" si="8"/>
        <v>60000</v>
      </c>
      <c r="E262" s="20" t="str">
        <f t="shared" si="9"/>
        <v>VISUAL BASIC 4.0 PROF. Agg. 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17" t="s">
        <v>370</v>
      </c>
      <c r="B263" s="17" t="s">
        <v>351</v>
      </c>
      <c r="C263" s="18">
        <v>2407000</v>
      </c>
      <c r="D263" s="19">
        <f t="shared" si="8"/>
        <v>481400</v>
      </c>
      <c r="E263" s="20" t="str">
        <f t="shared" si="9"/>
        <v>VISUAL BASIC 4.0 ENTERPRICE 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17" t="s">
        <v>371</v>
      </c>
      <c r="B264" s="17" t="s">
        <v>351</v>
      </c>
      <c r="C264" s="18">
        <v>1021000</v>
      </c>
      <c r="D264" s="19">
        <f t="shared" si="8"/>
        <v>204200</v>
      </c>
      <c r="E264" s="20" t="str">
        <f t="shared" si="9"/>
        <v>VISUAL BASIC 4.0 ENTERPRICE Agg. 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17" t="s">
        <v>372</v>
      </c>
      <c r="B265" s="17" t="s">
        <v>351</v>
      </c>
      <c r="C265" s="18">
        <v>646000</v>
      </c>
      <c r="D265" s="19">
        <f t="shared" si="8"/>
        <v>129200</v>
      </c>
      <c r="E265" s="20" t="str">
        <f t="shared" si="9"/>
        <v>POWERPOINT 97 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17" t="s">
        <v>373</v>
      </c>
      <c r="B266" s="17" t="s">
        <v>351</v>
      </c>
      <c r="C266" s="18">
        <v>259000</v>
      </c>
      <c r="D266" s="19">
        <f t="shared" si="8"/>
        <v>51800</v>
      </c>
      <c r="E266" s="20" t="str">
        <f t="shared" si="9"/>
        <v>POWERPOINT 97 Agg. 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17" t="s">
        <v>374</v>
      </c>
      <c r="B267" s="17" t="s">
        <v>351</v>
      </c>
      <c r="C267" s="18">
        <v>193000</v>
      </c>
      <c r="D267" s="19">
        <f t="shared" si="8"/>
        <v>38600</v>
      </c>
      <c r="E267" s="20" t="str">
        <f t="shared" si="9"/>
        <v>PUBLISHER 3.0 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17" t="s">
        <v>375</v>
      </c>
      <c r="B268" s="17" t="s">
        <v>351</v>
      </c>
      <c r="C268" s="18">
        <v>96000</v>
      </c>
      <c r="D268" s="19">
        <f t="shared" si="8"/>
        <v>19200</v>
      </c>
      <c r="E268" s="20" t="str">
        <f t="shared" si="9"/>
        <v>PUBLISHER 3.0 Agg. 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17" t="s">
        <v>376</v>
      </c>
      <c r="B269" s="17" t="s">
        <v>351</v>
      </c>
      <c r="C269" s="18">
        <v>594000</v>
      </c>
      <c r="D269" s="19">
        <f t="shared" si="8"/>
        <v>118800</v>
      </c>
      <c r="E269" s="20" t="str">
        <f t="shared" si="9"/>
        <v>WINDOWS NT 4.0 WORKSTATION 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17" t="s">
        <v>377</v>
      </c>
      <c r="B270" s="17" t="s">
        <v>351</v>
      </c>
      <c r="C270" s="18">
        <v>282000</v>
      </c>
      <c r="D270" s="19">
        <f t="shared" si="8"/>
        <v>56400</v>
      </c>
      <c r="E270" s="20" t="str">
        <f t="shared" si="9"/>
        <v>WINDOWS NT 4.0 Agg. WORKSTATION 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17" t="s">
        <v>378</v>
      </c>
      <c r="B271" s="17" t="s">
        <v>351</v>
      </c>
      <c r="C271" s="18">
        <v>1814000</v>
      </c>
      <c r="D271" s="19">
        <f t="shared" si="8"/>
        <v>362800</v>
      </c>
      <c r="E271" s="20" t="str">
        <f t="shared" si="9"/>
        <v>WINDOWS NT 4.0 SERVER 5 client 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17" t="s">
        <v>379</v>
      </c>
      <c r="B272" s="17" t="s">
        <v>351</v>
      </c>
      <c r="C272" s="18">
        <v>193000</v>
      </c>
      <c r="D272" s="19">
        <f t="shared" si="8"/>
        <v>38600</v>
      </c>
      <c r="E272" s="20" t="str">
        <f t="shared" si="9"/>
        <v>WINDOWS 3.1 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17" t="s">
        <v>380</v>
      </c>
      <c r="B273" s="17" t="s">
        <v>351</v>
      </c>
      <c r="C273" s="18">
        <v>654000</v>
      </c>
      <c r="D273" s="19">
        <f t="shared" si="8"/>
        <v>130800</v>
      </c>
      <c r="E273" s="20" t="str">
        <f t="shared" si="9"/>
        <v>POWERPOINT 4.0 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17" t="s">
        <v>381</v>
      </c>
      <c r="B274" s="17" t="s">
        <v>351</v>
      </c>
      <c r="C274" s="18">
        <v>729000</v>
      </c>
      <c r="D274" s="19">
        <f t="shared" si="8"/>
        <v>145800</v>
      </c>
      <c r="E274" s="20" t="str">
        <f t="shared" si="9"/>
        <v>EXCEL 5.0 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17" t="s">
        <v>382</v>
      </c>
      <c r="B275" s="17" t="s">
        <v>351</v>
      </c>
      <c r="C275" s="18">
        <v>632000</v>
      </c>
      <c r="D275" s="19">
        <f t="shared" si="8"/>
        <v>126400</v>
      </c>
      <c r="E275" s="20" t="str">
        <f t="shared" si="9"/>
        <v>ACCESS 2.0 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17" t="s">
        <v>383</v>
      </c>
      <c r="B276" s="17" t="s">
        <v>351</v>
      </c>
      <c r="C276" s="18">
        <v>240000</v>
      </c>
      <c r="D276" s="19">
        <f t="shared" si="8"/>
        <v>48000</v>
      </c>
      <c r="E276" s="20" t="str">
        <f t="shared" si="9"/>
        <v>ACCESS 2.0 Competitivo 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17" t="s">
        <v>384</v>
      </c>
      <c r="B277" s="17" t="s">
        <v>385</v>
      </c>
      <c r="C277" s="18">
        <v>955000</v>
      </c>
      <c r="D277" s="19">
        <f t="shared" si="8"/>
        <v>191000</v>
      </c>
      <c r="E277" s="20" t="str">
        <f t="shared" si="9"/>
        <v xml:space="preserve">OFFICE 4.2 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17" t="s">
        <v>386</v>
      </c>
      <c r="B278" s="17" t="s">
        <v>385</v>
      </c>
      <c r="C278" s="18">
        <v>1126000</v>
      </c>
      <c r="D278" s="19">
        <f t="shared" si="8"/>
        <v>225200</v>
      </c>
      <c r="E278" s="20" t="str">
        <f t="shared" si="9"/>
        <v xml:space="preserve">OFFICE 4.3 PROFESSIONAL 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17" t="s">
        <v>387</v>
      </c>
      <c r="B279" s="17"/>
      <c r="C279" s="18"/>
      <c r="D279" s="19">
        <f t="shared" si="8"/>
        <v>0</v>
      </c>
      <c r="E279" s="20" t="str">
        <f t="shared" si="9"/>
        <v xml:space="preserve">STAMPANTI 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17" t="s">
        <v>388</v>
      </c>
      <c r="B280" s="17" t="s">
        <v>389</v>
      </c>
      <c r="C280" s="18">
        <v>297000</v>
      </c>
      <c r="D280" s="19">
        <f t="shared" si="8"/>
        <v>59400</v>
      </c>
      <c r="E280" s="20" t="str">
        <f t="shared" si="9"/>
        <v>STAMP.EPSON LX300 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17" t="s">
        <v>390</v>
      </c>
      <c r="B281" s="17" t="s">
        <v>391</v>
      </c>
      <c r="C281" s="18">
        <v>646000</v>
      </c>
      <c r="D281" s="19">
        <f t="shared" si="8"/>
        <v>129200</v>
      </c>
      <c r="E281" s="20" t="str">
        <f t="shared" si="9"/>
        <v>STAMP.EPSON LX1050+ 9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17" t="s">
        <v>392</v>
      </c>
      <c r="B282" s="17" t="s">
        <v>393</v>
      </c>
      <c r="C282" s="18">
        <v>714000</v>
      </c>
      <c r="D282" s="19">
        <f t="shared" si="8"/>
        <v>142800</v>
      </c>
      <c r="E282" s="20" t="str">
        <f t="shared" si="9"/>
        <v>STAMP.EPSON FX870 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17" t="s">
        <v>394</v>
      </c>
      <c r="B283" s="17" t="s">
        <v>395</v>
      </c>
      <c r="C283" s="18">
        <v>807000</v>
      </c>
      <c r="D283" s="19">
        <f t="shared" si="8"/>
        <v>161400</v>
      </c>
      <c r="E283" s="20" t="str">
        <f t="shared" si="9"/>
        <v>STAMP.EPSON FX1170 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17" t="s">
        <v>396</v>
      </c>
      <c r="B284" s="17" t="s">
        <v>397</v>
      </c>
      <c r="C284" s="18">
        <v>591000</v>
      </c>
      <c r="D284" s="19">
        <f t="shared" si="8"/>
        <v>118200</v>
      </c>
      <c r="E284" s="20" t="str">
        <f t="shared" si="9"/>
        <v>STAMP.EPSON LQ570+ 24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17" t="s">
        <v>398</v>
      </c>
      <c r="B285" s="17" t="s">
        <v>399</v>
      </c>
      <c r="C285" s="18">
        <v>918000</v>
      </c>
      <c r="D285" s="19">
        <f t="shared" si="8"/>
        <v>183600</v>
      </c>
      <c r="E285" s="20" t="str">
        <f t="shared" si="9"/>
        <v>STAMP.EPSON LQ2070+ 24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17" t="s">
        <v>400</v>
      </c>
      <c r="B286" s="17" t="s">
        <v>401</v>
      </c>
      <c r="C286" s="18">
        <v>1265000</v>
      </c>
      <c r="D286" s="19">
        <f t="shared" si="8"/>
        <v>253000</v>
      </c>
      <c r="E286" s="20" t="str">
        <f t="shared" si="9"/>
        <v>STAMP.EPSON LQ 2170 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17" t="s">
        <v>402</v>
      </c>
      <c r="B287" s="17" t="s">
        <v>403</v>
      </c>
      <c r="C287" s="18">
        <v>256000</v>
      </c>
      <c r="D287" s="19">
        <f t="shared" si="8"/>
        <v>51200</v>
      </c>
      <c r="E287" s="20" t="str">
        <f t="shared" si="9"/>
        <v>STAMP.EPSON STYLUS 300COLOR 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17" t="s">
        <v>404</v>
      </c>
      <c r="B288" s="17" t="s">
        <v>405</v>
      </c>
      <c r="C288" s="18">
        <v>371000</v>
      </c>
      <c r="D288" s="19">
        <f t="shared" si="8"/>
        <v>74200</v>
      </c>
      <c r="E288" s="20" t="str">
        <f t="shared" si="9"/>
        <v>STAMP.EPSON STYLUS 400COLOR 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17" t="s">
        <v>406</v>
      </c>
      <c r="B289" s="17" t="s">
        <v>407</v>
      </c>
      <c r="C289" s="18">
        <v>457000</v>
      </c>
      <c r="D289" s="19">
        <f t="shared" si="8"/>
        <v>91400</v>
      </c>
      <c r="E289" s="20" t="str">
        <f t="shared" si="9"/>
        <v>STAMP.EPSON STYLUS 600COLOR 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17" t="s">
        <v>408</v>
      </c>
      <c r="B290" s="17" t="s">
        <v>409</v>
      </c>
      <c r="C290" s="18">
        <v>642000</v>
      </c>
      <c r="D290" s="19">
        <f t="shared" si="8"/>
        <v>128400</v>
      </c>
      <c r="E290" s="20" t="str">
        <f t="shared" si="9"/>
        <v>STAMP.EPSON STYLUS 800COLOR 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17" t="s">
        <v>410</v>
      </c>
      <c r="B291" s="17" t="s">
        <v>411</v>
      </c>
      <c r="C291" s="18">
        <v>1571000</v>
      </c>
      <c r="D291" s="19">
        <f t="shared" si="8"/>
        <v>314200</v>
      </c>
      <c r="E291" s="20" t="str">
        <f t="shared" si="9"/>
        <v>STAMP.EPSON STYLUS 1520COLOR 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17" t="s">
        <v>412</v>
      </c>
      <c r="B292" s="17" t="s">
        <v>413</v>
      </c>
      <c r="C292" s="18">
        <v>756000</v>
      </c>
      <c r="D292" s="19">
        <f t="shared" si="8"/>
        <v>151200</v>
      </c>
      <c r="E292" s="20" t="str">
        <f t="shared" si="9"/>
        <v>STAMP.EPSON STYLUS 1000 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17" t="s">
        <v>414</v>
      </c>
      <c r="B293" s="17" t="s">
        <v>415</v>
      </c>
      <c r="C293" s="18">
        <v>1571000</v>
      </c>
      <c r="D293" s="19">
        <f t="shared" si="8"/>
        <v>314200</v>
      </c>
      <c r="E293" s="20" t="str">
        <f t="shared" si="9"/>
        <v>STAMP.EPSON STYLUS PRO XL+ 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17" t="s">
        <v>416</v>
      </c>
      <c r="B294" s="17" t="s">
        <v>417</v>
      </c>
      <c r="C294" s="18">
        <v>2716000</v>
      </c>
      <c r="D294" s="19">
        <f t="shared" si="8"/>
        <v>543200</v>
      </c>
      <c r="E294" s="20" t="str">
        <f t="shared" si="9"/>
        <v xml:space="preserve">STAMP.EPSON STYLUS  3000 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17" t="s">
        <v>418</v>
      </c>
      <c r="B295" s="17" t="s">
        <v>419</v>
      </c>
      <c r="C295" s="18">
        <v>640000</v>
      </c>
      <c r="D295" s="19">
        <f t="shared" si="8"/>
        <v>128000</v>
      </c>
      <c r="E295" s="20" t="str">
        <f t="shared" si="9"/>
        <v xml:space="preserve">STAMP.EPSON STYLUS PHOTO 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17" t="s">
        <v>420</v>
      </c>
      <c r="B296" s="17" t="s">
        <v>421</v>
      </c>
      <c r="C296" s="18">
        <v>255000</v>
      </c>
      <c r="D296" s="19">
        <f t="shared" si="8"/>
        <v>51000</v>
      </c>
      <c r="E296" s="20" t="str">
        <f t="shared" si="9"/>
        <v>STAMP. CANON BJ-250 COLOR 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17" t="s">
        <v>422</v>
      </c>
      <c r="B297" s="17" t="s">
        <v>423</v>
      </c>
      <c r="C297" s="18">
        <v>413000</v>
      </c>
      <c r="D297" s="19">
        <f t="shared" si="8"/>
        <v>82600</v>
      </c>
      <c r="E297" s="20" t="str">
        <f t="shared" si="9"/>
        <v>STAMP. CANON BJC-80 COLOR 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17" t="s">
        <v>424</v>
      </c>
      <c r="B298" s="17" t="s">
        <v>425</v>
      </c>
      <c r="C298" s="18">
        <v>361000</v>
      </c>
      <c r="D298" s="19">
        <f t="shared" si="8"/>
        <v>72200</v>
      </c>
      <c r="E298" s="20" t="str">
        <f t="shared" si="9"/>
        <v>STAMP. CANON BJC-4300 COLOR 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17" t="s">
        <v>426</v>
      </c>
      <c r="B299" s="17" t="s">
        <v>427</v>
      </c>
      <c r="C299" s="18">
        <v>544000</v>
      </c>
      <c r="D299" s="19">
        <f t="shared" si="8"/>
        <v>108800</v>
      </c>
      <c r="E299" s="20" t="str">
        <f t="shared" si="9"/>
        <v>STAMP. CANON BJC-4550 COLOR 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17" t="s">
        <v>428</v>
      </c>
      <c r="B300" s="17" t="s">
        <v>429</v>
      </c>
      <c r="C300" s="18">
        <v>678000</v>
      </c>
      <c r="D300" s="19">
        <f t="shared" si="8"/>
        <v>135600</v>
      </c>
      <c r="E300" s="20" t="str">
        <f t="shared" si="9"/>
        <v>STAMP. CANON BJC-4650 COLOR 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17" t="s">
        <v>430</v>
      </c>
      <c r="B301" s="17" t="s">
        <v>431</v>
      </c>
      <c r="C301" s="18">
        <v>1054000</v>
      </c>
      <c r="D301" s="19">
        <f t="shared" si="8"/>
        <v>210800</v>
      </c>
      <c r="E301" s="20" t="str">
        <f t="shared" si="9"/>
        <v>STAMP. CANON BJC-5500 COLOR 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17" t="s">
        <v>432</v>
      </c>
      <c r="B302" s="17" t="s">
        <v>433</v>
      </c>
      <c r="C302" s="18">
        <v>482000</v>
      </c>
      <c r="D302" s="19">
        <f t="shared" si="8"/>
        <v>96400</v>
      </c>
      <c r="E302" s="20" t="str">
        <f t="shared" si="9"/>
        <v>STAMP. CANON BJC-620 COLOR 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17" t="s">
        <v>434</v>
      </c>
      <c r="B303" s="17" t="s">
        <v>435</v>
      </c>
      <c r="C303" s="18">
        <v>722000</v>
      </c>
      <c r="D303" s="19">
        <f t="shared" si="8"/>
        <v>144400</v>
      </c>
      <c r="E303" s="20" t="str">
        <f t="shared" si="9"/>
        <v>STAMP. CANON BJC-7000 COLOR 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17" t="s">
        <v>436</v>
      </c>
      <c r="B304" s="17" t="s">
        <v>437</v>
      </c>
      <c r="C304" s="18">
        <v>269000</v>
      </c>
      <c r="D304" s="19">
        <f t="shared" si="8"/>
        <v>53800</v>
      </c>
      <c r="E304" s="20" t="str">
        <f t="shared" si="9"/>
        <v>STAMP. HP 400L 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17" t="s">
        <v>438</v>
      </c>
      <c r="B305" s="17" t="s">
        <v>437</v>
      </c>
      <c r="C305" s="18">
        <v>371000</v>
      </c>
      <c r="D305" s="19">
        <f t="shared" si="8"/>
        <v>74200</v>
      </c>
      <c r="E305" s="20" t="str">
        <f t="shared" si="9"/>
        <v>STAMP. HP 670 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17" t="s">
        <v>439</v>
      </c>
      <c r="B306" s="17" t="s">
        <v>440</v>
      </c>
      <c r="C306" s="18">
        <v>462000</v>
      </c>
      <c r="D306" s="19">
        <f t="shared" si="8"/>
        <v>92400</v>
      </c>
      <c r="E306" s="20" t="str">
        <f t="shared" si="9"/>
        <v>STAMP. HP 690+ 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17" t="s">
        <v>441</v>
      </c>
      <c r="B307" s="17" t="s">
        <v>442</v>
      </c>
      <c r="C307" s="18">
        <v>541000</v>
      </c>
      <c r="D307" s="19">
        <f t="shared" si="8"/>
        <v>108200</v>
      </c>
      <c r="E307" s="20" t="str">
        <f t="shared" si="9"/>
        <v>STAMP. HP 720C 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17" t="s">
        <v>443</v>
      </c>
      <c r="B308" s="17" t="s">
        <v>444</v>
      </c>
      <c r="C308" s="18">
        <v>648000</v>
      </c>
      <c r="D308" s="19">
        <f t="shared" si="8"/>
        <v>129600</v>
      </c>
      <c r="E308" s="20" t="str">
        <f t="shared" si="9"/>
        <v>STAMP. HP 870 CXI 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17" t="s">
        <v>445</v>
      </c>
      <c r="B309" s="17" t="s">
        <v>446</v>
      </c>
      <c r="C309" s="18">
        <v>644000</v>
      </c>
      <c r="D309" s="19">
        <f t="shared" si="8"/>
        <v>128800</v>
      </c>
      <c r="E309" s="20" t="str">
        <f t="shared" si="9"/>
        <v>STAMP. HP 890C 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17" t="s">
        <v>447</v>
      </c>
      <c r="B310" s="17" t="s">
        <v>448</v>
      </c>
      <c r="C310" s="18">
        <v>902000</v>
      </c>
      <c r="D310" s="19">
        <f t="shared" si="8"/>
        <v>180400</v>
      </c>
      <c r="E310" s="20" t="str">
        <f t="shared" si="9"/>
        <v>STAMP. HP 1100C 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17" t="s">
        <v>449</v>
      </c>
      <c r="B311" s="17" t="s">
        <v>450</v>
      </c>
      <c r="C311" s="18">
        <v>722000</v>
      </c>
      <c r="D311" s="19">
        <f t="shared" si="8"/>
        <v>144400</v>
      </c>
      <c r="E311" s="20" t="str">
        <f t="shared" si="9"/>
        <v>STAMP. HP 6L 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17" t="s">
        <v>451</v>
      </c>
      <c r="B312" s="17" t="s">
        <v>450</v>
      </c>
      <c r="C312" s="18">
        <v>1457000</v>
      </c>
      <c r="D312" s="19">
        <f t="shared" si="8"/>
        <v>291400</v>
      </c>
      <c r="E312" s="20" t="str">
        <f t="shared" si="9"/>
        <v>STAMP. HP 6P 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17" t="s">
        <v>452</v>
      </c>
      <c r="B313" s="17" t="s">
        <v>453</v>
      </c>
      <c r="C313" s="18">
        <v>1786000</v>
      </c>
      <c r="D313" s="19">
        <f t="shared" si="8"/>
        <v>357200</v>
      </c>
      <c r="E313" s="20" t="str">
        <f t="shared" si="9"/>
        <v>STAMP. HP 6MP 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17" t="s">
        <v>454</v>
      </c>
      <c r="B314" s="17"/>
      <c r="C314" s="18"/>
      <c r="D314" s="19">
        <f t="shared" si="8"/>
        <v>0</v>
      </c>
      <c r="E314" s="20" t="str">
        <f t="shared" si="9"/>
        <v xml:space="preserve">CABINATI 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17" t="s">
        <v>455</v>
      </c>
      <c r="B315" s="17" t="s">
        <v>456</v>
      </c>
      <c r="C315" s="18">
        <v>85000</v>
      </c>
      <c r="D315" s="19">
        <f t="shared" si="8"/>
        <v>17000</v>
      </c>
      <c r="E315" s="20" t="str">
        <f t="shared" si="9"/>
        <v>CASE DESKTOP   CE CK 131-6 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17" t="s">
        <v>457</v>
      </c>
      <c r="B316" s="17" t="s">
        <v>456</v>
      </c>
      <c r="C316" s="18">
        <v>84000</v>
      </c>
      <c r="D316" s="19">
        <f t="shared" si="8"/>
        <v>16800</v>
      </c>
      <c r="E316" s="20" t="str">
        <f t="shared" si="9"/>
        <v>CASE MINITOWER CE CK 136-1 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17" t="s">
        <v>458</v>
      </c>
      <c r="B317" s="17" t="s">
        <v>459</v>
      </c>
      <c r="C317" s="18">
        <v>115000</v>
      </c>
      <c r="D317" s="19">
        <f t="shared" si="8"/>
        <v>23000</v>
      </c>
      <c r="E317" s="20" t="str">
        <f t="shared" si="9"/>
        <v xml:space="preserve">CASE MIDITOWER CE CK 135-1 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17" t="s">
        <v>460</v>
      </c>
      <c r="B318" s="17" t="s">
        <v>459</v>
      </c>
      <c r="C318" s="18">
        <v>152000</v>
      </c>
      <c r="D318" s="19">
        <f t="shared" si="8"/>
        <v>30400</v>
      </c>
      <c r="E318" s="20" t="str">
        <f t="shared" si="9"/>
        <v xml:space="preserve">CASE BIG TOWER CE   CK139-1 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17" t="s">
        <v>461</v>
      </c>
      <c r="B319" s="17" t="s">
        <v>456</v>
      </c>
      <c r="C319" s="18">
        <v>82000</v>
      </c>
      <c r="D319" s="19">
        <f t="shared" si="8"/>
        <v>16400</v>
      </c>
      <c r="E319" s="20" t="str">
        <f t="shared" si="9"/>
        <v>CASE DESKTOP CE CK 131-8 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17" t="s">
        <v>462</v>
      </c>
      <c r="B320" s="17" t="s">
        <v>456</v>
      </c>
      <c r="C320" s="18">
        <v>84000</v>
      </c>
      <c r="D320" s="19">
        <f t="shared" si="8"/>
        <v>16800</v>
      </c>
      <c r="E320" s="20" t="str">
        <f t="shared" si="9"/>
        <v>CASE SUB-MIDITOWER CE  CK 132-3 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17" t="s">
        <v>463</v>
      </c>
      <c r="B321" s="17" t="s">
        <v>464</v>
      </c>
      <c r="C321" s="18">
        <v>115000</v>
      </c>
      <c r="D321" s="19">
        <f t="shared" si="8"/>
        <v>23000</v>
      </c>
      <c r="E321" s="20" t="str">
        <f t="shared" si="9"/>
        <v>CASE  MIDITOWER CE  CK 135-2 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17" t="s">
        <v>465</v>
      </c>
      <c r="B322" s="17" t="s">
        <v>464</v>
      </c>
      <c r="C322" s="18">
        <v>153000</v>
      </c>
      <c r="D322" s="19">
        <f t="shared" si="8"/>
        <v>30600</v>
      </c>
      <c r="E322" s="20" t="str">
        <f t="shared" si="9"/>
        <v>CASE TOWER CE CK 139-2 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17" t="s">
        <v>466</v>
      </c>
      <c r="B323" s="17" t="s">
        <v>464</v>
      </c>
      <c r="C323" s="18">
        <v>80000</v>
      </c>
      <c r="D323" s="19">
        <f t="shared" ref="D323:D337" si="10">+C323*0.2</f>
        <v>16000</v>
      </c>
      <c r="E323" s="20" t="str">
        <f t="shared" ref="E323:E337" si="11">_xlfn.CONCAT(A323," ",B323)</f>
        <v>CASE MIDITOWER BC VIP 432 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17" t="s">
        <v>467</v>
      </c>
      <c r="B324" s="17" t="s">
        <v>464</v>
      </c>
      <c r="C324" s="18">
        <v>102000</v>
      </c>
      <c r="D324" s="19">
        <f t="shared" si="10"/>
        <v>20400</v>
      </c>
      <c r="E324" s="20" t="str">
        <f t="shared" si="11"/>
        <v>CASE TOWER BC VIP 730 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17" t="s">
        <v>468</v>
      </c>
      <c r="B325" s="17"/>
      <c r="C325" s="18"/>
      <c r="D325" s="19">
        <f t="shared" si="10"/>
        <v>0</v>
      </c>
      <c r="E325" s="20" t="str">
        <f t="shared" si="11"/>
        <v xml:space="preserve">GRUPPI DI CONTINUITA' 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17" t="s">
        <v>469</v>
      </c>
      <c r="B326" s="17" t="s">
        <v>470</v>
      </c>
      <c r="C326" s="18">
        <v>198000</v>
      </c>
      <c r="D326" s="19">
        <f t="shared" si="10"/>
        <v>39600</v>
      </c>
      <c r="E326" s="20" t="str">
        <f t="shared" si="11"/>
        <v>GR.CONT.REVOLUTION E300 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17" t="s">
        <v>471</v>
      </c>
      <c r="B327" s="17" t="s">
        <v>470</v>
      </c>
      <c r="C327" s="18">
        <v>233000</v>
      </c>
      <c r="D327" s="19">
        <f t="shared" si="10"/>
        <v>46600</v>
      </c>
      <c r="E327" s="20" t="str">
        <f t="shared" si="11"/>
        <v>GR.CONT.REVOLUTION F450 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17" t="s">
        <v>472</v>
      </c>
      <c r="B328" s="17" t="s">
        <v>470</v>
      </c>
      <c r="C328" s="18">
        <v>279000</v>
      </c>
      <c r="D328" s="19">
        <f t="shared" si="10"/>
        <v>55800</v>
      </c>
      <c r="E328" s="20" t="str">
        <f t="shared" si="11"/>
        <v>GR.CONT.REVOLUTION L600 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17" t="s">
        <v>473</v>
      </c>
      <c r="B329" s="17" t="s">
        <v>474</v>
      </c>
      <c r="C329" s="18">
        <v>298000</v>
      </c>
      <c r="D329" s="19">
        <f t="shared" si="10"/>
        <v>59600</v>
      </c>
      <c r="E329" s="20" t="str">
        <f t="shared" si="11"/>
        <v>GR.CONT.POWER PRO 600 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17" t="s">
        <v>475</v>
      </c>
      <c r="B330" s="17" t="s">
        <v>474</v>
      </c>
      <c r="C330" s="18">
        <v>478000</v>
      </c>
      <c r="D330" s="19">
        <f t="shared" si="10"/>
        <v>95600</v>
      </c>
      <c r="E330" s="20" t="str">
        <f t="shared" si="11"/>
        <v>GR.CONT.POWER PRO 750 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17" t="s">
        <v>476</v>
      </c>
      <c r="B331" s="17" t="s">
        <v>474</v>
      </c>
      <c r="C331" s="18">
        <v>626000</v>
      </c>
      <c r="D331" s="19">
        <f t="shared" si="10"/>
        <v>125200</v>
      </c>
      <c r="E331" s="20" t="str">
        <f t="shared" si="11"/>
        <v>GR.CONT.POWER PRO 900 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17" t="s">
        <v>477</v>
      </c>
      <c r="B332" s="17" t="s">
        <v>474</v>
      </c>
      <c r="C332" s="18">
        <v>757000</v>
      </c>
      <c r="D332" s="19">
        <f t="shared" si="10"/>
        <v>151400</v>
      </c>
      <c r="E332" s="20" t="str">
        <f t="shared" si="11"/>
        <v>GR.CONT.POWER PRO 1000 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17" t="s">
        <v>478</v>
      </c>
      <c r="B333" s="17" t="s">
        <v>474</v>
      </c>
      <c r="C333" s="18">
        <v>1128000</v>
      </c>
      <c r="D333" s="19">
        <f t="shared" si="10"/>
        <v>225600</v>
      </c>
      <c r="E333" s="20" t="str">
        <f t="shared" si="11"/>
        <v>GR.CONT.POWER PRO 1600 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17" t="s">
        <v>479</v>
      </c>
      <c r="B334" s="17" t="s">
        <v>474</v>
      </c>
      <c r="C334" s="18">
        <v>1527000</v>
      </c>
      <c r="D334" s="19">
        <f t="shared" si="10"/>
        <v>305400</v>
      </c>
      <c r="E334" s="20" t="str">
        <f t="shared" si="11"/>
        <v>GR.CONT.POWER PRO 2400 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17" t="s">
        <v>480</v>
      </c>
      <c r="B335" s="17" t="s">
        <v>481</v>
      </c>
      <c r="C335" s="18">
        <v>4134000</v>
      </c>
      <c r="D335" s="19">
        <f t="shared" si="10"/>
        <v>826800</v>
      </c>
      <c r="E335" s="20" t="str">
        <f t="shared" si="11"/>
        <v>GR.CONT.POWERSAVE 4000 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17" t="s">
        <v>482</v>
      </c>
      <c r="B336" s="17" t="s">
        <v>481</v>
      </c>
      <c r="C336" s="18">
        <v>6850000</v>
      </c>
      <c r="D336" s="19">
        <f t="shared" si="10"/>
        <v>1370000</v>
      </c>
      <c r="E336" s="20" t="str">
        <f t="shared" si="11"/>
        <v>GR.CONT.POWERSAVE 7500 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17" t="s">
        <v>483</v>
      </c>
      <c r="B337" s="17" t="s">
        <v>481</v>
      </c>
      <c r="C337" s="18">
        <v>11712000</v>
      </c>
      <c r="D337" s="19">
        <f t="shared" si="10"/>
        <v>2342400</v>
      </c>
      <c r="E337" s="20" t="str">
        <f t="shared" si="11"/>
        <v>GR.CONT.POWERSAVE 12500 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Z993"/>
  <sheetViews>
    <sheetView workbookViewId="0">
      <selection activeCell="D2" sqref="D2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20.19921875" customWidth="1"/>
    <col min="5" max="5" width="9.296875" customWidth="1"/>
    <col min="6" max="6" width="7.296875" customWidth="1"/>
    <col min="7" max="7" width="14.296875" customWidth="1"/>
    <col min="8" max="8" width="8" customWidth="1"/>
    <col min="9" max="26" width="9.296875" customWidth="1"/>
  </cols>
  <sheetData>
    <row r="1" spans="1:26" ht="12.75" customHeight="1" x14ac:dyDescent="0.3">
      <c r="A1" s="5" t="s">
        <v>484</v>
      </c>
      <c r="B1" s="5" t="s">
        <v>485</v>
      </c>
      <c r="C1" s="21" t="s">
        <v>571</v>
      </c>
      <c r="D1" s="21" t="s">
        <v>572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6" t="s">
        <v>486</v>
      </c>
      <c r="B2" s="6">
        <v>40</v>
      </c>
      <c r="C2" s="22" t="str">
        <f>+IF(Table_1[[#This Row],[Column2]]&lt;40,"respinto",IF(Table_1[[#This Row],[Column2]]&lt;60,"sufficiente",IF(Table_1[[#This Row],[Column2]]&lt;70,"discreto","buono")))</f>
        <v>sufficiente</v>
      </c>
      <c r="D2" s="7" t="str">
        <f>+VLOOKUP(Table_1[[#This Row],[Column2]],Legenda_Giudizi!$B$2:$C$6,2,TRUE)</f>
        <v>sufficiente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6" t="s">
        <v>487</v>
      </c>
      <c r="B3" s="6">
        <v>60</v>
      </c>
      <c r="C3" s="22" t="str">
        <f>+IF(Table_1[[#This Row],[Column2]]&lt;40,"respinto",IF(Table_1[[#This Row],[Column2]]&lt;60,"sufficiente",IF(Table_1[[#This Row],[Column2]]&lt;70,"discreto","buono")))</f>
        <v>discreto</v>
      </c>
      <c r="D3" s="7" t="str">
        <f>+VLOOKUP(Table_1[[#This Row],[Column2]],Legenda_Giudizi!$B$2:$C$6,2,TRUE)</f>
        <v>discreto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6" t="s">
        <v>488</v>
      </c>
      <c r="B4" s="6">
        <v>60</v>
      </c>
      <c r="C4" s="22" t="str">
        <f>+IF(Table_1[[#This Row],[Column2]]&lt;40,"respinto",IF(Table_1[[#This Row],[Column2]]&lt;60,"sufficiente",IF(Table_1[[#This Row],[Column2]]&lt;70,"discreto","buono")))</f>
        <v>discreto</v>
      </c>
      <c r="D4" s="7" t="str">
        <f>+VLOOKUP(Table_1[[#This Row],[Column2]],Legenda_Giudizi!$B$2:$C$6,2,TRUE)</f>
        <v>discreto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6" t="s">
        <v>489</v>
      </c>
      <c r="B5" s="6">
        <v>40</v>
      </c>
      <c r="C5" s="22" t="str">
        <f>+IF(Table_1[[#This Row],[Column2]]&lt;40,"respinto",IF(Table_1[[#This Row],[Column2]]&lt;60,"sufficiente",IF(Table_1[[#This Row],[Column2]]&lt;70,"discreto","buono")))</f>
        <v>sufficiente</v>
      </c>
      <c r="D5" s="7" t="str">
        <f>+VLOOKUP(Table_1[[#This Row],[Column2]],Legenda_Giudizi!$B$2:$C$6,2,TRUE)</f>
        <v>sufficiente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6" t="s">
        <v>490</v>
      </c>
      <c r="B6" s="6">
        <v>70</v>
      </c>
      <c r="C6" s="22" t="str">
        <f>+IF(Table_1[[#This Row],[Column2]]&lt;40,"respinto",IF(Table_1[[#This Row],[Column2]]&lt;60,"sufficiente",IF(Table_1[[#This Row],[Column2]]&lt;70,"discreto","buono")))</f>
        <v>buono</v>
      </c>
      <c r="D6" s="7" t="str">
        <f>+VLOOKUP(Table_1[[#This Row],[Column2]],Legenda_Giudizi!$B$2:$C$6,2,TRUE)</f>
        <v>buono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6" t="s">
        <v>491</v>
      </c>
      <c r="B7" s="6">
        <v>0</v>
      </c>
      <c r="C7" s="22" t="str">
        <f>+IF(Table_1[[#This Row],[Column2]]&lt;40,"respinto",IF(Table_1[[#This Row],[Column2]]&lt;60,"sufficiente",IF(Table_1[[#This Row],[Column2]]&lt;70,"discreto","buono")))</f>
        <v>respinto</v>
      </c>
      <c r="D7" s="7" t="str">
        <f>+VLOOKUP(Table_1[[#This Row],[Column2]],Legenda_Giudizi!$B$2:$C$6,2,TRUE)</f>
        <v>respinto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6" t="s">
        <v>492</v>
      </c>
      <c r="B8" s="6">
        <v>0</v>
      </c>
      <c r="C8" s="22" t="str">
        <f>+IF(Table_1[[#This Row],[Column2]]&lt;40,"respinto",IF(Table_1[[#This Row],[Column2]]&lt;60,"sufficiente",IF(Table_1[[#This Row],[Column2]]&lt;70,"discreto","buono")))</f>
        <v>respinto</v>
      </c>
      <c r="D8" s="7" t="str">
        <f>+VLOOKUP(Table_1[[#This Row],[Column2]],Legenda_Giudizi!$B$2:$C$6,2,TRUE)</f>
        <v>respinto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8D0A-C09F-4D76-BEDC-ABA70F05C858}">
  <sheetPr codeName="Foglio3"/>
  <dimension ref="B2:C6"/>
  <sheetViews>
    <sheetView workbookViewId="0">
      <selection activeCell="C7" sqref="C7"/>
    </sheetView>
  </sheetViews>
  <sheetFormatPr defaultRowHeight="13" x14ac:dyDescent="0.3"/>
  <cols>
    <col min="1" max="1" width="3.69921875" customWidth="1"/>
    <col min="2" max="3" width="14.69921875" customWidth="1"/>
  </cols>
  <sheetData>
    <row r="2" spans="2:3" x14ac:dyDescent="0.3">
      <c r="B2" s="23" t="s">
        <v>485</v>
      </c>
      <c r="C2" s="23" t="s">
        <v>571</v>
      </c>
    </row>
    <row r="3" spans="2:3" x14ac:dyDescent="0.3">
      <c r="B3" s="24">
        <v>0</v>
      </c>
      <c r="C3" s="25" t="s">
        <v>573</v>
      </c>
    </row>
    <row r="4" spans="2:3" x14ac:dyDescent="0.3">
      <c r="B4" s="24">
        <v>40</v>
      </c>
      <c r="C4" s="25" t="s">
        <v>574</v>
      </c>
    </row>
    <row r="5" spans="2:3" x14ac:dyDescent="0.3">
      <c r="B5" s="24">
        <v>60</v>
      </c>
      <c r="C5" s="25" t="s">
        <v>575</v>
      </c>
    </row>
    <row r="6" spans="2:3" x14ac:dyDescent="0.3">
      <c r="B6" s="24">
        <v>70</v>
      </c>
      <c r="C6" s="25" t="s">
        <v>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/>
  <dimension ref="A1:X1000"/>
  <sheetViews>
    <sheetView tabSelected="1" workbookViewId="0">
      <selection activeCell="H21" sqref="H21:H27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1.69921875" customWidth="1"/>
    <col min="6" max="6" width="3.69921875" customWidth="1"/>
    <col min="7" max="8" width="22.3984375" customWidth="1"/>
    <col min="9" max="24" width="8.69921875" customWidth="1"/>
  </cols>
  <sheetData>
    <row r="1" spans="1:24" ht="13.5" customHeight="1" x14ac:dyDescent="0.4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G1" s="26" t="s">
        <v>494</v>
      </c>
      <c r="H1" s="26" t="s">
        <v>577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x14ac:dyDescent="0.3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s="24" t="s">
        <v>501</v>
      </c>
      <c r="H2" s="24">
        <f>+COUNTIF($B$1:$B$80,G2)</f>
        <v>2</v>
      </c>
    </row>
    <row r="3" spans="1:24" ht="13.5" customHeight="1" x14ac:dyDescent="0.3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G3" s="24" t="s">
        <v>507</v>
      </c>
      <c r="H3" s="24">
        <f t="shared" ref="H3:H8" si="0">+COUNTIF($B$1:$B$80,G3)</f>
        <v>1</v>
      </c>
    </row>
    <row r="4" spans="1:24" ht="13.5" customHeight="1" x14ac:dyDescent="0.3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G4" s="24" t="s">
        <v>509</v>
      </c>
      <c r="H4" s="24">
        <f t="shared" si="0"/>
        <v>1</v>
      </c>
    </row>
    <row r="5" spans="1:24" ht="13.5" customHeight="1" x14ac:dyDescent="0.3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s="24" t="s">
        <v>511</v>
      </c>
      <c r="H5" s="24">
        <f t="shared" si="0"/>
        <v>1</v>
      </c>
    </row>
    <row r="6" spans="1:24" ht="13.5" customHeight="1" x14ac:dyDescent="0.3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  <c r="G6" s="24" t="s">
        <v>525</v>
      </c>
      <c r="H6" s="24">
        <f t="shared" si="0"/>
        <v>4</v>
      </c>
    </row>
    <row r="7" spans="1:24" ht="13.5" customHeight="1" x14ac:dyDescent="0.3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  <c r="G7" s="24" t="s">
        <v>528</v>
      </c>
      <c r="H7" s="24">
        <f t="shared" si="0"/>
        <v>2</v>
      </c>
    </row>
    <row r="8" spans="1:24" ht="13.5" customHeight="1" x14ac:dyDescent="0.3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  <c r="G8" s="24" t="s">
        <v>529</v>
      </c>
      <c r="H8" s="24">
        <f t="shared" si="0"/>
        <v>1</v>
      </c>
    </row>
    <row r="9" spans="1:24" ht="13.5" customHeight="1" x14ac:dyDescent="0.3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</row>
    <row r="10" spans="1:24" ht="13.5" customHeight="1" x14ac:dyDescent="0.3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</row>
    <row r="11" spans="1:24" ht="13.5" customHeight="1" x14ac:dyDescent="0.3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</row>
    <row r="12" spans="1:24" ht="13.5" customHeight="1" x14ac:dyDescent="0.35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  <c r="G12" s="26" t="s">
        <v>578</v>
      </c>
      <c r="H12" s="26" t="s">
        <v>579</v>
      </c>
    </row>
    <row r="13" spans="1:24" ht="13.5" customHeight="1" x14ac:dyDescent="0.3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  <c r="G13" s="25" t="s">
        <v>499</v>
      </c>
      <c r="H13" s="27">
        <f>+SUMIF($C$1:$C$80,G13,$D$1:$D$80)</f>
        <v>611780</v>
      </c>
    </row>
    <row r="14" spans="1:24" ht="13.5" customHeight="1" x14ac:dyDescent="0.3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  <c r="G14" s="25" t="s">
        <v>558</v>
      </c>
      <c r="H14" s="27">
        <f t="shared" ref="H14:H16" si="1">+SUMIF($C$1:$C$80,G14,$D$1:$D$80)</f>
        <v>30860</v>
      </c>
    </row>
    <row r="15" spans="1:24" ht="13.5" customHeight="1" x14ac:dyDescent="0.3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  <c r="G15" s="24" t="s">
        <v>506</v>
      </c>
      <c r="H15" s="27">
        <f t="shared" si="1"/>
        <v>54000</v>
      </c>
    </row>
    <row r="16" spans="1:24" ht="13.5" customHeight="1" x14ac:dyDescent="0.3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  <c r="G16" s="24" t="s">
        <v>547</v>
      </c>
      <c r="H16" s="27">
        <f t="shared" si="1"/>
        <v>6765600</v>
      </c>
    </row>
    <row r="17" spans="1:8" ht="13.5" customHeight="1" x14ac:dyDescent="0.3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</row>
    <row r="18" spans="1:8" ht="13.5" customHeight="1" x14ac:dyDescent="0.3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</row>
    <row r="19" spans="1:8" ht="13.5" customHeight="1" x14ac:dyDescent="0.3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</row>
    <row r="20" spans="1:8" ht="13.5" customHeight="1" x14ac:dyDescent="0.35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  <c r="G20" s="26" t="s">
        <v>494</v>
      </c>
      <c r="H20" s="26" t="s">
        <v>579</v>
      </c>
    </row>
    <row r="21" spans="1:8" ht="13.5" customHeight="1" x14ac:dyDescent="0.3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  <c r="G21" s="24" t="s">
        <v>501</v>
      </c>
      <c r="H21" s="27">
        <f>+SUMIF($B$1:$B$80,G21,$D$1:$D$80)</f>
        <v>73450</v>
      </c>
    </row>
    <row r="22" spans="1:8" ht="13.5" customHeight="1" x14ac:dyDescent="0.3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  <c r="G22" s="24" t="s">
        <v>507</v>
      </c>
      <c r="H22" s="27">
        <f t="shared" ref="H22:H27" si="2">+SUMIF($B$1:$B$80,G22,$D$1:$D$80)</f>
        <v>50800</v>
      </c>
    </row>
    <row r="23" spans="1:8" ht="13.5" customHeight="1" x14ac:dyDescent="0.3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  <c r="G23" s="24" t="s">
        <v>509</v>
      </c>
      <c r="H23" s="27">
        <f t="shared" si="2"/>
        <v>98450</v>
      </c>
    </row>
    <row r="24" spans="1:8" ht="13.5" customHeight="1" x14ac:dyDescent="0.3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  <c r="G24" s="24" t="s">
        <v>511</v>
      </c>
      <c r="H24" s="27">
        <f t="shared" si="2"/>
        <v>7950</v>
      </c>
    </row>
    <row r="25" spans="1:8" ht="13.5" customHeight="1" x14ac:dyDescent="0.3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  <c r="G25" s="24" t="s">
        <v>525</v>
      </c>
      <c r="H25" s="27">
        <f t="shared" si="2"/>
        <v>283000</v>
      </c>
    </row>
    <row r="26" spans="1:8" ht="13.5" customHeight="1" x14ac:dyDescent="0.3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  <c r="G26" s="24" t="s">
        <v>528</v>
      </c>
      <c r="H26" s="27">
        <f t="shared" si="2"/>
        <v>107700</v>
      </c>
    </row>
    <row r="27" spans="1:8" ht="13.5" customHeight="1" x14ac:dyDescent="0.3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  <c r="G27" s="24" t="s">
        <v>529</v>
      </c>
      <c r="H27" s="27">
        <f t="shared" si="2"/>
        <v>27270</v>
      </c>
    </row>
    <row r="28" spans="1:8" ht="13.5" customHeight="1" x14ac:dyDescent="0.3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</row>
    <row r="29" spans="1:8" ht="13.5" customHeight="1" x14ac:dyDescent="0.3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</row>
    <row r="30" spans="1:8" ht="13.5" customHeight="1" x14ac:dyDescent="0.3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</row>
    <row r="31" spans="1:8" ht="13.5" customHeight="1" x14ac:dyDescent="0.3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</row>
    <row r="32" spans="1:8" ht="13.5" customHeight="1" x14ac:dyDescent="0.3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</row>
    <row r="33" spans="1:5" ht="13.5" customHeight="1" x14ac:dyDescent="0.3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</row>
    <row r="34" spans="1:5" ht="13.5" customHeight="1" x14ac:dyDescent="0.3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</row>
    <row r="35" spans="1:5" ht="13.5" customHeight="1" x14ac:dyDescent="0.3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</row>
    <row r="36" spans="1:5" ht="13.5" customHeight="1" x14ac:dyDescent="0.3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</row>
    <row r="37" spans="1:5" ht="13.5" customHeight="1" x14ac:dyDescent="0.3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</row>
    <row r="38" spans="1:5" ht="13.5" customHeight="1" x14ac:dyDescent="0.3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</row>
    <row r="39" spans="1:5" ht="13.5" customHeight="1" x14ac:dyDescent="0.3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</row>
    <row r="40" spans="1:5" ht="13.5" customHeight="1" x14ac:dyDescent="0.3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</row>
    <row r="41" spans="1:5" ht="13.5" customHeight="1" x14ac:dyDescent="0.3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</row>
    <row r="42" spans="1:5" ht="13.5" customHeight="1" x14ac:dyDescent="0.3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</row>
    <row r="43" spans="1:5" ht="13.5" customHeight="1" x14ac:dyDescent="0.3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</row>
    <row r="44" spans="1:5" ht="13.5" customHeight="1" x14ac:dyDescent="0.3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</row>
    <row r="45" spans="1:5" ht="13.5" customHeight="1" x14ac:dyDescent="0.3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</row>
    <row r="46" spans="1:5" ht="13.5" customHeight="1" x14ac:dyDescent="0.3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</row>
    <row r="47" spans="1:5" ht="13.5" customHeight="1" x14ac:dyDescent="0.3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</row>
    <row r="48" spans="1:5" ht="13.5" customHeight="1" x14ac:dyDescent="0.3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</row>
    <row r="49" spans="1:5" ht="13.5" customHeight="1" x14ac:dyDescent="0.3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</row>
    <row r="50" spans="1:5" ht="13.5" customHeight="1" x14ac:dyDescent="0.3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5" ht="13.5" customHeight="1" x14ac:dyDescent="0.3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5" ht="13.5" customHeight="1" x14ac:dyDescent="0.3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5" ht="13.5" customHeight="1" x14ac:dyDescent="0.3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5" ht="13.5" customHeight="1" x14ac:dyDescent="0.3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5" ht="13.5" customHeight="1" x14ac:dyDescent="0.3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5" ht="13.5" customHeight="1" x14ac:dyDescent="0.3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5" ht="13.5" customHeight="1" x14ac:dyDescent="0.3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5" ht="13.5" customHeight="1" x14ac:dyDescent="0.3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5" ht="13.5" customHeight="1" x14ac:dyDescent="0.3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5" ht="13.5" customHeight="1" x14ac:dyDescent="0.3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5" ht="13.5" customHeight="1" x14ac:dyDescent="0.3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5" ht="13.5" customHeight="1" x14ac:dyDescent="0.3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5" ht="13.5" customHeight="1" x14ac:dyDescent="0.3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5" ht="13.5" customHeight="1" x14ac:dyDescent="0.3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3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3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3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3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3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3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3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3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3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3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3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3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3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3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3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3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3">
      <c r="D81" s="13"/>
      <c r="E81" s="13"/>
    </row>
    <row r="82" spans="4:5" ht="13.5" customHeight="1" x14ac:dyDescent="0.3">
      <c r="D82" s="13"/>
      <c r="E82" s="13"/>
    </row>
    <row r="83" spans="4:5" ht="13.5" customHeight="1" x14ac:dyDescent="0.3">
      <c r="D83" s="13"/>
      <c r="E83" s="13"/>
    </row>
    <row r="84" spans="4:5" ht="13.5" customHeight="1" x14ac:dyDescent="0.3">
      <c r="D84" s="13"/>
      <c r="E84" s="13"/>
    </row>
    <row r="85" spans="4:5" ht="13.5" customHeight="1" x14ac:dyDescent="0.3">
      <c r="D85" s="13"/>
      <c r="E85" s="13"/>
    </row>
    <row r="86" spans="4:5" ht="13.5" customHeight="1" x14ac:dyDescent="0.3">
      <c r="D86" s="13"/>
      <c r="E86" s="13"/>
    </row>
    <row r="87" spans="4:5" ht="13.5" customHeight="1" x14ac:dyDescent="0.3">
      <c r="D87" s="13"/>
      <c r="E87" s="13"/>
    </row>
    <row r="88" spans="4:5" ht="13.5" customHeight="1" x14ac:dyDescent="0.3">
      <c r="D88" s="13"/>
      <c r="E88" s="13"/>
    </row>
    <row r="89" spans="4:5" ht="13.5" customHeight="1" x14ac:dyDescent="0.3">
      <c r="D89" s="13"/>
      <c r="E89" s="13"/>
    </row>
    <row r="90" spans="4:5" ht="13.5" customHeight="1" x14ac:dyDescent="0.3">
      <c r="D90" s="13"/>
      <c r="E90" s="13"/>
    </row>
    <row r="91" spans="4:5" ht="13.5" customHeight="1" x14ac:dyDescent="0.3">
      <c r="D91" s="13"/>
      <c r="E91" s="13"/>
    </row>
    <row r="92" spans="4:5" ht="13.5" customHeight="1" x14ac:dyDescent="0.3">
      <c r="D92" s="13"/>
      <c r="E92" s="13"/>
    </row>
    <row r="93" spans="4:5" ht="13.5" customHeight="1" x14ac:dyDescent="0.3">
      <c r="D93" s="13"/>
      <c r="E93" s="13"/>
    </row>
    <row r="94" spans="4:5" ht="13.5" customHeight="1" x14ac:dyDescent="0.3">
      <c r="D94" s="13"/>
      <c r="E94" s="13"/>
    </row>
    <row r="95" spans="4:5" ht="13.5" customHeight="1" x14ac:dyDescent="0.3">
      <c r="D95" s="13"/>
      <c r="E95" s="13"/>
    </row>
    <row r="96" spans="4:5" ht="13.5" customHeight="1" x14ac:dyDescent="0.3">
      <c r="D96" s="13"/>
      <c r="E96" s="13"/>
    </row>
    <row r="97" spans="4:5" ht="13.5" customHeight="1" x14ac:dyDescent="0.3">
      <c r="D97" s="13"/>
      <c r="E97" s="13"/>
    </row>
    <row r="98" spans="4:5" ht="13.5" customHeight="1" x14ac:dyDescent="0.3">
      <c r="D98" s="13"/>
      <c r="E98" s="13"/>
    </row>
    <row r="99" spans="4:5" ht="13.5" customHeight="1" x14ac:dyDescent="0.3">
      <c r="D99" s="13"/>
      <c r="E99" s="13"/>
    </row>
    <row r="100" spans="4:5" ht="13.5" customHeight="1" x14ac:dyDescent="0.3">
      <c r="D100" s="13"/>
      <c r="E100" s="13"/>
    </row>
    <row r="101" spans="4:5" ht="13.5" customHeight="1" x14ac:dyDescent="0.3">
      <c r="D101" s="13"/>
      <c r="E101" s="13"/>
    </row>
    <row r="102" spans="4:5" ht="13.5" customHeight="1" x14ac:dyDescent="0.3">
      <c r="D102" s="13"/>
      <c r="E102" s="13"/>
    </row>
    <row r="103" spans="4:5" ht="13.5" customHeight="1" x14ac:dyDescent="0.3">
      <c r="D103" s="13"/>
      <c r="E103" s="13"/>
    </row>
    <row r="104" spans="4:5" ht="13.5" customHeight="1" x14ac:dyDescent="0.3">
      <c r="D104" s="13"/>
      <c r="E104" s="13"/>
    </row>
    <row r="105" spans="4:5" ht="13.5" customHeight="1" x14ac:dyDescent="0.3">
      <c r="D105" s="13"/>
      <c r="E105" s="13"/>
    </row>
    <row r="106" spans="4:5" ht="13.5" customHeight="1" x14ac:dyDescent="0.3">
      <c r="D106" s="13"/>
      <c r="E106" s="13"/>
    </row>
    <row r="107" spans="4:5" ht="13.5" customHeight="1" x14ac:dyDescent="0.3">
      <c r="D107" s="13"/>
      <c r="E107" s="13"/>
    </row>
    <row r="108" spans="4:5" ht="13.5" customHeight="1" x14ac:dyDescent="0.3">
      <c r="D108" s="13"/>
      <c r="E108" s="13"/>
    </row>
    <row r="109" spans="4:5" ht="13.5" customHeight="1" x14ac:dyDescent="0.3">
      <c r="D109" s="13"/>
      <c r="E109" s="13"/>
    </row>
    <row r="110" spans="4:5" ht="13.5" customHeight="1" x14ac:dyDescent="0.3">
      <c r="D110" s="13"/>
      <c r="E110" s="13"/>
    </row>
    <row r="111" spans="4:5" ht="13.5" customHeight="1" x14ac:dyDescent="0.3">
      <c r="D111" s="13"/>
      <c r="E111" s="13"/>
    </row>
    <row r="112" spans="4:5" ht="13.5" customHeight="1" x14ac:dyDescent="0.3">
      <c r="D112" s="13"/>
      <c r="E112" s="13"/>
    </row>
    <row r="113" spans="4:5" ht="13.5" customHeight="1" x14ac:dyDescent="0.3">
      <c r="D113" s="13"/>
      <c r="E113" s="13"/>
    </row>
    <row r="114" spans="4:5" ht="13.5" customHeight="1" x14ac:dyDescent="0.3">
      <c r="D114" s="13"/>
      <c r="E114" s="13"/>
    </row>
    <row r="115" spans="4:5" ht="13.5" customHeight="1" x14ac:dyDescent="0.3">
      <c r="D115" s="13"/>
      <c r="E115" s="13"/>
    </row>
    <row r="116" spans="4:5" ht="13.5" customHeight="1" x14ac:dyDescent="0.3">
      <c r="D116" s="13"/>
      <c r="E116" s="13"/>
    </row>
    <row r="117" spans="4:5" ht="13.5" customHeight="1" x14ac:dyDescent="0.3">
      <c r="D117" s="13"/>
      <c r="E117" s="13"/>
    </row>
    <row r="118" spans="4:5" ht="13.5" customHeight="1" x14ac:dyDescent="0.3">
      <c r="D118" s="13"/>
      <c r="E118" s="13"/>
    </row>
    <row r="119" spans="4:5" ht="13.5" customHeight="1" x14ac:dyDescent="0.3">
      <c r="D119" s="13"/>
      <c r="E119" s="13"/>
    </row>
    <row r="120" spans="4:5" ht="13.5" customHeight="1" x14ac:dyDescent="0.3">
      <c r="D120" s="13"/>
      <c r="E120" s="13"/>
    </row>
    <row r="121" spans="4:5" ht="13.5" customHeight="1" x14ac:dyDescent="0.3">
      <c r="D121" s="13"/>
      <c r="E121" s="13"/>
    </row>
    <row r="122" spans="4:5" ht="13.5" customHeight="1" x14ac:dyDescent="0.3">
      <c r="D122" s="13"/>
      <c r="E122" s="13"/>
    </row>
    <row r="123" spans="4:5" ht="13.5" customHeight="1" x14ac:dyDescent="0.3">
      <c r="D123" s="13"/>
      <c r="E123" s="13"/>
    </row>
    <row r="124" spans="4:5" ht="13.5" customHeight="1" x14ac:dyDescent="0.3">
      <c r="D124" s="13"/>
      <c r="E124" s="13"/>
    </row>
    <row r="125" spans="4:5" ht="13.5" customHeight="1" x14ac:dyDescent="0.3">
      <c r="D125" s="13"/>
      <c r="E125" s="13"/>
    </row>
    <row r="126" spans="4:5" ht="13.5" customHeight="1" x14ac:dyDescent="0.3">
      <c r="D126" s="13"/>
      <c r="E126" s="13"/>
    </row>
    <row r="127" spans="4:5" ht="13.5" customHeight="1" x14ac:dyDescent="0.3">
      <c r="D127" s="13"/>
      <c r="E127" s="13"/>
    </row>
    <row r="128" spans="4:5" ht="13.5" customHeight="1" x14ac:dyDescent="0.3">
      <c r="D128" s="13"/>
      <c r="E128" s="13"/>
    </row>
    <row r="129" spans="4:5" ht="13.5" customHeight="1" x14ac:dyDescent="0.3">
      <c r="D129" s="13"/>
      <c r="E129" s="13"/>
    </row>
    <row r="130" spans="4:5" ht="13.5" customHeight="1" x14ac:dyDescent="0.3">
      <c r="D130" s="13"/>
      <c r="E130" s="13"/>
    </row>
    <row r="131" spans="4:5" ht="13.5" customHeight="1" x14ac:dyDescent="0.3">
      <c r="D131" s="13"/>
      <c r="E131" s="13"/>
    </row>
    <row r="132" spans="4:5" ht="13.5" customHeight="1" x14ac:dyDescent="0.3">
      <c r="D132" s="13"/>
      <c r="E132" s="13"/>
    </row>
    <row r="133" spans="4:5" ht="13.5" customHeight="1" x14ac:dyDescent="0.3">
      <c r="D133" s="13"/>
      <c r="E133" s="13"/>
    </row>
    <row r="134" spans="4:5" ht="13.5" customHeight="1" x14ac:dyDescent="0.3">
      <c r="D134" s="13"/>
      <c r="E134" s="13"/>
    </row>
    <row r="135" spans="4:5" ht="13.5" customHeight="1" x14ac:dyDescent="0.3">
      <c r="D135" s="13"/>
      <c r="E135" s="13"/>
    </row>
    <row r="136" spans="4:5" ht="13.5" customHeight="1" x14ac:dyDescent="0.3">
      <c r="D136" s="13"/>
      <c r="E136" s="13"/>
    </row>
    <row r="137" spans="4:5" ht="13.5" customHeight="1" x14ac:dyDescent="0.3">
      <c r="D137" s="13"/>
      <c r="E137" s="13"/>
    </row>
    <row r="138" spans="4:5" ht="13.5" customHeight="1" x14ac:dyDescent="0.3">
      <c r="D138" s="13"/>
      <c r="E138" s="13"/>
    </row>
    <row r="139" spans="4:5" ht="13.5" customHeight="1" x14ac:dyDescent="0.3">
      <c r="D139" s="13"/>
      <c r="E139" s="13"/>
    </row>
    <row r="140" spans="4:5" ht="13.5" customHeight="1" x14ac:dyDescent="0.3">
      <c r="D140" s="13"/>
      <c r="E140" s="13"/>
    </row>
    <row r="141" spans="4:5" ht="13.5" customHeight="1" x14ac:dyDescent="0.3">
      <c r="D141" s="13"/>
      <c r="E141" s="13"/>
    </row>
    <row r="142" spans="4:5" ht="13.5" customHeight="1" x14ac:dyDescent="0.3">
      <c r="D142" s="13"/>
      <c r="E142" s="13"/>
    </row>
    <row r="143" spans="4:5" ht="13.5" customHeight="1" x14ac:dyDescent="0.3">
      <c r="D143" s="13"/>
      <c r="E143" s="13"/>
    </row>
    <row r="144" spans="4:5" ht="13.5" customHeight="1" x14ac:dyDescent="0.3">
      <c r="D144" s="13"/>
      <c r="E144" s="13"/>
    </row>
    <row r="145" spans="4:5" ht="13.5" customHeight="1" x14ac:dyDescent="0.3">
      <c r="D145" s="13"/>
      <c r="E145" s="13"/>
    </row>
    <row r="146" spans="4:5" ht="13.5" customHeight="1" x14ac:dyDescent="0.3">
      <c r="D146" s="13"/>
      <c r="E146" s="13"/>
    </row>
    <row r="147" spans="4:5" ht="13.5" customHeight="1" x14ac:dyDescent="0.3">
      <c r="D147" s="13"/>
      <c r="E147" s="13"/>
    </row>
    <row r="148" spans="4:5" ht="13.5" customHeight="1" x14ac:dyDescent="0.3">
      <c r="D148" s="13"/>
      <c r="E148" s="13"/>
    </row>
    <row r="149" spans="4:5" ht="13.5" customHeight="1" x14ac:dyDescent="0.3">
      <c r="D149" s="13"/>
      <c r="E149" s="13"/>
    </row>
    <row r="150" spans="4:5" ht="13.5" customHeight="1" x14ac:dyDescent="0.3">
      <c r="D150" s="13"/>
      <c r="E150" s="13"/>
    </row>
    <row r="151" spans="4:5" ht="13.5" customHeight="1" x14ac:dyDescent="0.3">
      <c r="D151" s="13"/>
      <c r="E151" s="13"/>
    </row>
    <row r="152" spans="4:5" ht="13.5" customHeight="1" x14ac:dyDescent="0.3">
      <c r="D152" s="13"/>
      <c r="E152" s="13"/>
    </row>
    <row r="153" spans="4:5" ht="13.5" customHeight="1" x14ac:dyDescent="0.3">
      <c r="D153" s="13"/>
      <c r="E153" s="13"/>
    </row>
    <row r="154" spans="4:5" ht="13.5" customHeight="1" x14ac:dyDescent="0.3">
      <c r="D154" s="13"/>
      <c r="E154" s="13"/>
    </row>
    <row r="155" spans="4:5" ht="13.5" customHeight="1" x14ac:dyDescent="0.3">
      <c r="D155" s="13"/>
      <c r="E155" s="13"/>
    </row>
    <row r="156" spans="4:5" ht="13.5" customHeight="1" x14ac:dyDescent="0.3">
      <c r="D156" s="13"/>
      <c r="E156" s="13"/>
    </row>
    <row r="157" spans="4:5" ht="13.5" customHeight="1" x14ac:dyDescent="0.3">
      <c r="D157" s="13"/>
      <c r="E157" s="13"/>
    </row>
    <row r="158" spans="4:5" ht="13.5" customHeight="1" x14ac:dyDescent="0.3">
      <c r="D158" s="13"/>
      <c r="E158" s="13"/>
    </row>
    <row r="159" spans="4:5" ht="13.5" customHeight="1" x14ac:dyDescent="0.3">
      <c r="D159" s="13"/>
      <c r="E159" s="13"/>
    </row>
    <row r="160" spans="4:5" ht="13.5" customHeight="1" x14ac:dyDescent="0.3">
      <c r="D160" s="13"/>
      <c r="E160" s="13"/>
    </row>
    <row r="161" spans="4:5" ht="13.5" customHeight="1" x14ac:dyDescent="0.3">
      <c r="D161" s="13"/>
      <c r="E161" s="13"/>
    </row>
    <row r="162" spans="4:5" ht="13.5" customHeight="1" x14ac:dyDescent="0.3">
      <c r="D162" s="13"/>
      <c r="E162" s="13"/>
    </row>
    <row r="163" spans="4:5" ht="13.5" customHeight="1" x14ac:dyDescent="0.3">
      <c r="D163" s="13"/>
      <c r="E163" s="13"/>
    </row>
    <row r="164" spans="4:5" ht="13.5" customHeight="1" x14ac:dyDescent="0.3">
      <c r="D164" s="13"/>
      <c r="E164" s="13"/>
    </row>
    <row r="165" spans="4:5" ht="13.5" customHeight="1" x14ac:dyDescent="0.3">
      <c r="D165" s="13"/>
      <c r="E165" s="13"/>
    </row>
    <row r="166" spans="4:5" ht="13.5" customHeight="1" x14ac:dyDescent="0.3">
      <c r="D166" s="13"/>
      <c r="E166" s="13"/>
    </row>
    <row r="167" spans="4:5" ht="13.5" customHeight="1" x14ac:dyDescent="0.3">
      <c r="D167" s="13"/>
      <c r="E167" s="13"/>
    </row>
    <row r="168" spans="4:5" ht="13.5" customHeight="1" x14ac:dyDescent="0.3">
      <c r="D168" s="13"/>
      <c r="E168" s="13"/>
    </row>
    <row r="169" spans="4:5" ht="13.5" customHeight="1" x14ac:dyDescent="0.3">
      <c r="D169" s="13"/>
      <c r="E169" s="13"/>
    </row>
    <row r="170" spans="4:5" ht="13.5" customHeight="1" x14ac:dyDescent="0.3">
      <c r="D170" s="13"/>
      <c r="E170" s="13"/>
    </row>
    <row r="171" spans="4:5" ht="13.5" customHeight="1" x14ac:dyDescent="0.3">
      <c r="D171" s="13"/>
      <c r="E171" s="13"/>
    </row>
    <row r="172" spans="4:5" ht="13.5" customHeight="1" x14ac:dyDescent="0.3">
      <c r="D172" s="13"/>
      <c r="E172" s="13"/>
    </row>
    <row r="173" spans="4:5" ht="13.5" customHeight="1" x14ac:dyDescent="0.3">
      <c r="D173" s="13"/>
      <c r="E173" s="13"/>
    </row>
    <row r="174" spans="4:5" ht="13.5" customHeight="1" x14ac:dyDescent="0.3">
      <c r="D174" s="13"/>
      <c r="E174" s="13"/>
    </row>
    <row r="175" spans="4:5" ht="13.5" customHeight="1" x14ac:dyDescent="0.3">
      <c r="D175" s="13"/>
      <c r="E175" s="13"/>
    </row>
    <row r="176" spans="4:5" ht="13.5" customHeight="1" x14ac:dyDescent="0.3">
      <c r="D176" s="13"/>
      <c r="E176" s="13"/>
    </row>
    <row r="177" spans="4:5" ht="13.5" customHeight="1" x14ac:dyDescent="0.3">
      <c r="D177" s="13"/>
      <c r="E177" s="13"/>
    </row>
    <row r="178" spans="4:5" ht="13.5" customHeight="1" x14ac:dyDescent="0.3">
      <c r="D178" s="13"/>
      <c r="E178" s="13"/>
    </row>
    <row r="179" spans="4:5" ht="13.5" customHeight="1" x14ac:dyDescent="0.3">
      <c r="D179" s="13"/>
      <c r="E179" s="13"/>
    </row>
    <row r="180" spans="4:5" ht="13.5" customHeight="1" x14ac:dyDescent="0.3">
      <c r="D180" s="13"/>
      <c r="E180" s="13"/>
    </row>
    <row r="181" spans="4:5" ht="13.5" customHeight="1" x14ac:dyDescent="0.3">
      <c r="D181" s="13"/>
      <c r="E181" s="13"/>
    </row>
    <row r="182" spans="4:5" ht="13.5" customHeight="1" x14ac:dyDescent="0.3">
      <c r="D182" s="13"/>
      <c r="E182" s="13"/>
    </row>
    <row r="183" spans="4:5" ht="13.5" customHeight="1" x14ac:dyDescent="0.3">
      <c r="D183" s="13"/>
      <c r="E183" s="13"/>
    </row>
    <row r="184" spans="4:5" ht="13.5" customHeight="1" x14ac:dyDescent="0.3">
      <c r="D184" s="13"/>
      <c r="E184" s="13"/>
    </row>
    <row r="185" spans="4:5" ht="13.5" customHeight="1" x14ac:dyDescent="0.3">
      <c r="D185" s="13"/>
      <c r="E185" s="13"/>
    </row>
    <row r="186" spans="4:5" ht="13.5" customHeight="1" x14ac:dyDescent="0.3">
      <c r="D186" s="13"/>
      <c r="E186" s="13"/>
    </row>
    <row r="187" spans="4:5" ht="13.5" customHeight="1" x14ac:dyDescent="0.3">
      <c r="D187" s="13"/>
      <c r="E187" s="13"/>
    </row>
    <row r="188" spans="4:5" ht="13.5" customHeight="1" x14ac:dyDescent="0.3">
      <c r="D188" s="13"/>
      <c r="E188" s="13"/>
    </row>
    <row r="189" spans="4:5" ht="13.5" customHeight="1" x14ac:dyDescent="0.3">
      <c r="D189" s="13"/>
      <c r="E189" s="13"/>
    </row>
    <row r="190" spans="4:5" ht="13.5" customHeight="1" x14ac:dyDescent="0.3">
      <c r="D190" s="13"/>
      <c r="E190" s="13"/>
    </row>
    <row r="191" spans="4:5" ht="13.5" customHeight="1" x14ac:dyDescent="0.3">
      <c r="D191" s="13"/>
      <c r="E191" s="13"/>
    </row>
    <row r="192" spans="4:5" ht="13.5" customHeight="1" x14ac:dyDescent="0.3">
      <c r="D192" s="13"/>
      <c r="E192" s="13"/>
    </row>
    <row r="193" spans="4:5" ht="13.5" customHeight="1" x14ac:dyDescent="0.3">
      <c r="D193" s="13"/>
      <c r="E193" s="13"/>
    </row>
    <row r="194" spans="4:5" ht="13.5" customHeight="1" x14ac:dyDescent="0.3">
      <c r="D194" s="13"/>
      <c r="E194" s="13"/>
    </row>
    <row r="195" spans="4:5" ht="13.5" customHeight="1" x14ac:dyDescent="0.3">
      <c r="D195" s="13"/>
      <c r="E195" s="13"/>
    </row>
    <row r="196" spans="4:5" ht="13.5" customHeight="1" x14ac:dyDescent="0.3">
      <c r="D196" s="13"/>
      <c r="E196" s="13"/>
    </row>
    <row r="197" spans="4:5" ht="13.5" customHeight="1" x14ac:dyDescent="0.3">
      <c r="D197" s="13"/>
      <c r="E197" s="13"/>
    </row>
    <row r="198" spans="4:5" ht="13.5" customHeight="1" x14ac:dyDescent="0.3">
      <c r="D198" s="13"/>
      <c r="E198" s="13"/>
    </row>
    <row r="199" spans="4:5" ht="13.5" customHeight="1" x14ac:dyDescent="0.3">
      <c r="D199" s="13"/>
      <c r="E199" s="13"/>
    </row>
    <row r="200" spans="4:5" ht="13.5" customHeight="1" x14ac:dyDescent="0.3">
      <c r="D200" s="13"/>
      <c r="E200" s="13"/>
    </row>
    <row r="201" spans="4:5" ht="13.5" customHeight="1" x14ac:dyDescent="0.3">
      <c r="D201" s="13"/>
      <c r="E201" s="13"/>
    </row>
    <row r="202" spans="4:5" ht="13.5" customHeight="1" x14ac:dyDescent="0.3">
      <c r="D202" s="13"/>
      <c r="E202" s="13"/>
    </row>
    <row r="203" spans="4:5" ht="13.5" customHeight="1" x14ac:dyDescent="0.3">
      <c r="D203" s="13"/>
      <c r="E203" s="13"/>
    </row>
    <row r="204" spans="4:5" ht="13.5" customHeight="1" x14ac:dyDescent="0.3">
      <c r="D204" s="13"/>
      <c r="E204" s="13"/>
    </row>
    <row r="205" spans="4:5" ht="13.5" customHeight="1" x14ac:dyDescent="0.3">
      <c r="D205" s="13"/>
      <c r="E205" s="13"/>
    </row>
    <row r="206" spans="4:5" ht="13.5" customHeight="1" x14ac:dyDescent="0.3">
      <c r="D206" s="13"/>
      <c r="E206" s="13"/>
    </row>
    <row r="207" spans="4:5" ht="13.5" customHeight="1" x14ac:dyDescent="0.3">
      <c r="D207" s="13"/>
      <c r="E207" s="13"/>
    </row>
    <row r="208" spans="4:5" ht="13.5" customHeight="1" x14ac:dyDescent="0.3">
      <c r="D208" s="13"/>
      <c r="E208" s="13"/>
    </row>
    <row r="209" spans="4:5" ht="13.5" customHeight="1" x14ac:dyDescent="0.3">
      <c r="D209" s="13"/>
      <c r="E209" s="13"/>
    </row>
    <row r="210" spans="4:5" ht="13.5" customHeight="1" x14ac:dyDescent="0.3">
      <c r="D210" s="13"/>
      <c r="E210" s="13"/>
    </row>
    <row r="211" spans="4:5" ht="13.5" customHeight="1" x14ac:dyDescent="0.3">
      <c r="D211" s="13"/>
      <c r="E211" s="13"/>
    </row>
    <row r="212" spans="4:5" ht="13.5" customHeight="1" x14ac:dyDescent="0.3">
      <c r="D212" s="13"/>
      <c r="E212" s="13"/>
    </row>
    <row r="213" spans="4:5" ht="13.5" customHeight="1" x14ac:dyDescent="0.3">
      <c r="D213" s="13"/>
      <c r="E213" s="13"/>
    </row>
    <row r="214" spans="4:5" ht="13.5" customHeight="1" x14ac:dyDescent="0.3">
      <c r="D214" s="13"/>
      <c r="E214" s="13"/>
    </row>
    <row r="215" spans="4:5" ht="13.5" customHeight="1" x14ac:dyDescent="0.3">
      <c r="D215" s="13"/>
      <c r="E215" s="13"/>
    </row>
    <row r="216" spans="4:5" ht="13.5" customHeight="1" x14ac:dyDescent="0.3">
      <c r="D216" s="13"/>
      <c r="E216" s="13"/>
    </row>
    <row r="217" spans="4:5" ht="13.5" customHeight="1" x14ac:dyDescent="0.3">
      <c r="D217" s="13"/>
      <c r="E217" s="13"/>
    </row>
    <row r="218" spans="4:5" ht="13.5" customHeight="1" x14ac:dyDescent="0.3">
      <c r="D218" s="13"/>
      <c r="E218" s="13"/>
    </row>
    <row r="219" spans="4:5" ht="13.5" customHeight="1" x14ac:dyDescent="0.3">
      <c r="D219" s="13"/>
      <c r="E219" s="13"/>
    </row>
    <row r="220" spans="4:5" ht="13.5" customHeight="1" x14ac:dyDescent="0.3">
      <c r="D220" s="13"/>
      <c r="E220" s="13"/>
    </row>
    <row r="221" spans="4:5" ht="13.5" customHeight="1" x14ac:dyDescent="0.3">
      <c r="D221" s="13"/>
      <c r="E221" s="13"/>
    </row>
    <row r="222" spans="4:5" ht="13.5" customHeight="1" x14ac:dyDescent="0.3">
      <c r="D222" s="13"/>
      <c r="E222" s="13"/>
    </row>
    <row r="223" spans="4:5" ht="13.5" customHeight="1" x14ac:dyDescent="0.3">
      <c r="D223" s="13"/>
      <c r="E223" s="13"/>
    </row>
    <row r="224" spans="4:5" ht="13.5" customHeight="1" x14ac:dyDescent="0.3">
      <c r="D224" s="13"/>
      <c r="E224" s="13"/>
    </row>
    <row r="225" spans="4:5" ht="13.5" customHeight="1" x14ac:dyDescent="0.3">
      <c r="D225" s="13"/>
      <c r="E225" s="13"/>
    </row>
    <row r="226" spans="4:5" ht="13.5" customHeight="1" x14ac:dyDescent="0.3">
      <c r="D226" s="13"/>
      <c r="E226" s="13"/>
    </row>
    <row r="227" spans="4:5" ht="13.5" customHeight="1" x14ac:dyDescent="0.3">
      <c r="D227" s="13"/>
      <c r="E227" s="13"/>
    </row>
    <row r="228" spans="4:5" ht="13.5" customHeight="1" x14ac:dyDescent="0.3">
      <c r="D228" s="13"/>
      <c r="E228" s="13"/>
    </row>
    <row r="229" spans="4:5" ht="13.5" customHeight="1" x14ac:dyDescent="0.3">
      <c r="D229" s="13"/>
      <c r="E229" s="13"/>
    </row>
    <row r="230" spans="4:5" ht="13.5" customHeight="1" x14ac:dyDescent="0.3">
      <c r="D230" s="13"/>
      <c r="E230" s="13"/>
    </row>
    <row r="231" spans="4:5" ht="13.5" customHeight="1" x14ac:dyDescent="0.3">
      <c r="D231" s="13"/>
      <c r="E231" s="13"/>
    </row>
    <row r="232" spans="4:5" ht="13.5" customHeight="1" x14ac:dyDescent="0.3">
      <c r="D232" s="13"/>
      <c r="E232" s="13"/>
    </row>
    <row r="233" spans="4:5" ht="13.5" customHeight="1" x14ac:dyDescent="0.3">
      <c r="D233" s="13"/>
      <c r="E233" s="13"/>
    </row>
    <row r="234" spans="4:5" ht="13.5" customHeight="1" x14ac:dyDescent="0.3">
      <c r="D234" s="13"/>
      <c r="E234" s="13"/>
    </row>
    <row r="235" spans="4:5" ht="13.5" customHeight="1" x14ac:dyDescent="0.3">
      <c r="D235" s="13"/>
      <c r="E235" s="13"/>
    </row>
    <row r="236" spans="4:5" ht="13.5" customHeight="1" x14ac:dyDescent="0.3">
      <c r="D236" s="13"/>
      <c r="E236" s="13"/>
    </row>
    <row r="237" spans="4:5" ht="13.5" customHeight="1" x14ac:dyDescent="0.3">
      <c r="D237" s="13"/>
      <c r="E237" s="13"/>
    </row>
    <row r="238" spans="4:5" ht="13.5" customHeight="1" x14ac:dyDescent="0.3">
      <c r="D238" s="13"/>
      <c r="E238" s="13"/>
    </row>
    <row r="239" spans="4:5" ht="13.5" customHeight="1" x14ac:dyDescent="0.3">
      <c r="D239" s="13"/>
      <c r="E239" s="13"/>
    </row>
    <row r="240" spans="4:5" ht="13.5" customHeight="1" x14ac:dyDescent="0.3">
      <c r="D240" s="13"/>
      <c r="E240" s="13"/>
    </row>
    <row r="241" spans="4:5" ht="13.5" customHeight="1" x14ac:dyDescent="0.3">
      <c r="D241" s="13"/>
      <c r="E241" s="13"/>
    </row>
    <row r="242" spans="4:5" ht="13.5" customHeight="1" x14ac:dyDescent="0.3">
      <c r="D242" s="13"/>
      <c r="E242" s="13"/>
    </row>
    <row r="243" spans="4:5" ht="13.5" customHeight="1" x14ac:dyDescent="0.3">
      <c r="D243" s="13"/>
      <c r="E243" s="13"/>
    </row>
    <row r="244" spans="4:5" ht="13.5" customHeight="1" x14ac:dyDescent="0.3">
      <c r="D244" s="13"/>
      <c r="E244" s="13"/>
    </row>
    <row r="245" spans="4:5" ht="13.5" customHeight="1" x14ac:dyDescent="0.3">
      <c r="D245" s="13"/>
      <c r="E245" s="13"/>
    </row>
    <row r="246" spans="4:5" ht="13.5" customHeight="1" x14ac:dyDescent="0.3">
      <c r="D246" s="13"/>
      <c r="E246" s="13"/>
    </row>
    <row r="247" spans="4:5" ht="13.5" customHeight="1" x14ac:dyDescent="0.3">
      <c r="D247" s="13"/>
      <c r="E247" s="13"/>
    </row>
    <row r="248" spans="4:5" ht="13.5" customHeight="1" x14ac:dyDescent="0.3">
      <c r="D248" s="13"/>
      <c r="E248" s="13"/>
    </row>
    <row r="249" spans="4:5" ht="13.5" customHeight="1" x14ac:dyDescent="0.3">
      <c r="D249" s="13"/>
      <c r="E249" s="13"/>
    </row>
    <row r="250" spans="4:5" ht="13.5" customHeight="1" x14ac:dyDescent="0.3">
      <c r="D250" s="13"/>
      <c r="E250" s="13"/>
    </row>
    <row r="251" spans="4:5" ht="13.5" customHeight="1" x14ac:dyDescent="0.3">
      <c r="D251" s="13"/>
      <c r="E251" s="13"/>
    </row>
    <row r="252" spans="4:5" ht="13.5" customHeight="1" x14ac:dyDescent="0.3">
      <c r="D252" s="13"/>
      <c r="E252" s="13"/>
    </row>
    <row r="253" spans="4:5" ht="13.5" customHeight="1" x14ac:dyDescent="0.3">
      <c r="D253" s="13"/>
      <c r="E253" s="13"/>
    </row>
    <row r="254" spans="4:5" ht="13.5" customHeight="1" x14ac:dyDescent="0.3">
      <c r="D254" s="13"/>
      <c r="E254" s="13"/>
    </row>
    <row r="255" spans="4:5" ht="13.5" customHeight="1" x14ac:dyDescent="0.3">
      <c r="D255" s="13"/>
      <c r="E255" s="13"/>
    </row>
    <row r="256" spans="4:5" ht="13.5" customHeight="1" x14ac:dyDescent="0.3">
      <c r="D256" s="13"/>
      <c r="E256" s="13"/>
    </row>
    <row r="257" spans="4:5" ht="13.5" customHeight="1" x14ac:dyDescent="0.3">
      <c r="D257" s="13"/>
      <c r="E257" s="13"/>
    </row>
    <row r="258" spans="4:5" ht="13.5" customHeight="1" x14ac:dyDescent="0.3">
      <c r="D258" s="13"/>
      <c r="E258" s="13"/>
    </row>
    <row r="259" spans="4:5" ht="13.5" customHeight="1" x14ac:dyDescent="0.3">
      <c r="D259" s="13"/>
      <c r="E259" s="13"/>
    </row>
    <row r="260" spans="4:5" ht="13.5" customHeight="1" x14ac:dyDescent="0.3">
      <c r="D260" s="13"/>
      <c r="E260" s="13"/>
    </row>
    <row r="261" spans="4:5" ht="13.5" customHeight="1" x14ac:dyDescent="0.3">
      <c r="D261" s="13"/>
      <c r="E261" s="13"/>
    </row>
    <row r="262" spans="4:5" ht="13.5" customHeight="1" x14ac:dyDescent="0.3">
      <c r="D262" s="13"/>
      <c r="E262" s="13"/>
    </row>
    <row r="263" spans="4:5" ht="13.5" customHeight="1" x14ac:dyDescent="0.3">
      <c r="D263" s="13"/>
      <c r="E263" s="13"/>
    </row>
    <row r="264" spans="4:5" ht="13.5" customHeight="1" x14ac:dyDescent="0.3">
      <c r="D264" s="13"/>
      <c r="E264" s="13"/>
    </row>
    <row r="265" spans="4:5" ht="13.5" customHeight="1" x14ac:dyDescent="0.3">
      <c r="D265" s="13"/>
      <c r="E265" s="13"/>
    </row>
    <row r="266" spans="4:5" ht="13.5" customHeight="1" x14ac:dyDescent="0.3">
      <c r="D266" s="13"/>
      <c r="E266" s="13"/>
    </row>
    <row r="267" spans="4:5" ht="13.5" customHeight="1" x14ac:dyDescent="0.3">
      <c r="D267" s="13"/>
      <c r="E267" s="13"/>
    </row>
    <row r="268" spans="4:5" ht="13.5" customHeight="1" x14ac:dyDescent="0.3">
      <c r="D268" s="13"/>
      <c r="E268" s="13"/>
    </row>
    <row r="269" spans="4:5" ht="13.5" customHeight="1" x14ac:dyDescent="0.3">
      <c r="D269" s="13"/>
      <c r="E269" s="13"/>
    </row>
    <row r="270" spans="4:5" ht="13.5" customHeight="1" x14ac:dyDescent="0.3">
      <c r="D270" s="13"/>
      <c r="E270" s="13"/>
    </row>
    <row r="271" spans="4:5" ht="13.5" customHeight="1" x14ac:dyDescent="0.3">
      <c r="D271" s="13"/>
      <c r="E271" s="13"/>
    </row>
    <row r="272" spans="4:5" ht="13.5" customHeight="1" x14ac:dyDescent="0.3">
      <c r="D272" s="13"/>
      <c r="E272" s="13"/>
    </row>
    <row r="273" spans="4:5" ht="13.5" customHeight="1" x14ac:dyDescent="0.3">
      <c r="D273" s="13"/>
      <c r="E273" s="13"/>
    </row>
    <row r="274" spans="4:5" ht="13.5" customHeight="1" x14ac:dyDescent="0.3">
      <c r="D274" s="13"/>
      <c r="E274" s="13"/>
    </row>
    <row r="275" spans="4:5" ht="13.5" customHeight="1" x14ac:dyDescent="0.3">
      <c r="D275" s="13"/>
      <c r="E275" s="13"/>
    </row>
    <row r="276" spans="4:5" ht="13.5" customHeight="1" x14ac:dyDescent="0.3">
      <c r="D276" s="13"/>
      <c r="E276" s="13"/>
    </row>
    <row r="277" spans="4:5" ht="13.5" customHeight="1" x14ac:dyDescent="0.3">
      <c r="D277" s="13"/>
      <c r="E277" s="13"/>
    </row>
    <row r="278" spans="4:5" ht="13.5" customHeight="1" x14ac:dyDescent="0.3">
      <c r="D278" s="13"/>
      <c r="E278" s="13"/>
    </row>
    <row r="279" spans="4:5" ht="13.5" customHeight="1" x14ac:dyDescent="0.3">
      <c r="D279" s="13"/>
      <c r="E279" s="13"/>
    </row>
    <row r="280" spans="4:5" ht="13.5" customHeight="1" x14ac:dyDescent="0.3">
      <c r="D280" s="13"/>
      <c r="E280" s="13"/>
    </row>
    <row r="281" spans="4:5" ht="13.5" customHeight="1" x14ac:dyDescent="0.3">
      <c r="D281" s="13"/>
      <c r="E281" s="13"/>
    </row>
    <row r="282" spans="4:5" ht="13.5" customHeight="1" x14ac:dyDescent="0.3">
      <c r="D282" s="13"/>
      <c r="E282" s="13"/>
    </row>
    <row r="283" spans="4:5" ht="13.5" customHeight="1" x14ac:dyDescent="0.3">
      <c r="D283" s="13"/>
      <c r="E283" s="13"/>
    </row>
    <row r="284" spans="4:5" ht="13.5" customHeight="1" x14ac:dyDescent="0.3">
      <c r="D284" s="13"/>
      <c r="E284" s="13"/>
    </row>
    <row r="285" spans="4:5" ht="13.5" customHeight="1" x14ac:dyDescent="0.3">
      <c r="D285" s="13"/>
      <c r="E285" s="13"/>
    </row>
    <row r="286" spans="4:5" ht="13.5" customHeight="1" x14ac:dyDescent="0.3">
      <c r="D286" s="13"/>
      <c r="E286" s="13"/>
    </row>
    <row r="287" spans="4:5" ht="13.5" customHeight="1" x14ac:dyDescent="0.3">
      <c r="D287" s="13"/>
      <c r="E287" s="13"/>
    </row>
    <row r="288" spans="4:5" ht="13.5" customHeight="1" x14ac:dyDescent="0.3">
      <c r="D288" s="13"/>
      <c r="E288" s="13"/>
    </row>
    <row r="289" spans="4:5" ht="13.5" customHeight="1" x14ac:dyDescent="0.3">
      <c r="D289" s="13"/>
      <c r="E289" s="13"/>
    </row>
    <row r="290" spans="4:5" ht="13.5" customHeight="1" x14ac:dyDescent="0.3">
      <c r="D290" s="13"/>
      <c r="E290" s="13"/>
    </row>
    <row r="291" spans="4:5" ht="13.5" customHeight="1" x14ac:dyDescent="0.3">
      <c r="D291" s="13"/>
      <c r="E291" s="13"/>
    </row>
    <row r="292" spans="4:5" ht="13.5" customHeight="1" x14ac:dyDescent="0.3">
      <c r="D292" s="13"/>
      <c r="E292" s="13"/>
    </row>
    <row r="293" spans="4:5" ht="13.5" customHeight="1" x14ac:dyDescent="0.3">
      <c r="D293" s="13"/>
      <c r="E293" s="13"/>
    </row>
    <row r="294" spans="4:5" ht="13.5" customHeight="1" x14ac:dyDescent="0.3">
      <c r="D294" s="13"/>
      <c r="E294" s="13"/>
    </row>
    <row r="295" spans="4:5" ht="13.5" customHeight="1" x14ac:dyDescent="0.3">
      <c r="D295" s="13"/>
      <c r="E295" s="13"/>
    </row>
    <row r="296" spans="4:5" ht="13.5" customHeight="1" x14ac:dyDescent="0.3">
      <c r="D296" s="13"/>
      <c r="E296" s="13"/>
    </row>
    <row r="297" spans="4:5" ht="13.5" customHeight="1" x14ac:dyDescent="0.3">
      <c r="D297" s="13"/>
      <c r="E297" s="13"/>
    </row>
    <row r="298" spans="4:5" ht="13.5" customHeight="1" x14ac:dyDescent="0.3">
      <c r="D298" s="13"/>
      <c r="E298" s="13"/>
    </row>
    <row r="299" spans="4:5" ht="13.5" customHeight="1" x14ac:dyDescent="0.3">
      <c r="D299" s="13"/>
      <c r="E299" s="13"/>
    </row>
    <row r="300" spans="4:5" ht="13.5" customHeight="1" x14ac:dyDescent="0.3">
      <c r="D300" s="13"/>
      <c r="E300" s="13"/>
    </row>
    <row r="301" spans="4:5" ht="13.5" customHeight="1" x14ac:dyDescent="0.3">
      <c r="D301" s="13"/>
      <c r="E301" s="13"/>
    </row>
    <row r="302" spans="4:5" ht="13.5" customHeight="1" x14ac:dyDescent="0.3">
      <c r="D302" s="13"/>
      <c r="E302" s="13"/>
    </row>
    <row r="303" spans="4:5" ht="13.5" customHeight="1" x14ac:dyDescent="0.3">
      <c r="D303" s="13"/>
      <c r="E303" s="13"/>
    </row>
    <row r="304" spans="4:5" ht="13.5" customHeight="1" x14ac:dyDescent="0.3">
      <c r="D304" s="13"/>
      <c r="E304" s="13"/>
    </row>
    <row r="305" spans="4:5" ht="13.5" customHeight="1" x14ac:dyDescent="0.3">
      <c r="D305" s="13"/>
      <c r="E305" s="13"/>
    </row>
    <row r="306" spans="4:5" ht="13.5" customHeight="1" x14ac:dyDescent="0.3">
      <c r="D306" s="13"/>
      <c r="E306" s="13"/>
    </row>
    <row r="307" spans="4:5" ht="13.5" customHeight="1" x14ac:dyDescent="0.3">
      <c r="D307" s="13"/>
      <c r="E307" s="13"/>
    </row>
    <row r="308" spans="4:5" ht="13.5" customHeight="1" x14ac:dyDescent="0.3">
      <c r="D308" s="13"/>
      <c r="E308" s="13"/>
    </row>
    <row r="309" spans="4:5" ht="13.5" customHeight="1" x14ac:dyDescent="0.3">
      <c r="D309" s="13"/>
      <c r="E309" s="13"/>
    </row>
    <row r="310" spans="4:5" ht="13.5" customHeight="1" x14ac:dyDescent="0.3">
      <c r="D310" s="13"/>
      <c r="E310" s="13"/>
    </row>
    <row r="311" spans="4:5" ht="13.5" customHeight="1" x14ac:dyDescent="0.3">
      <c r="D311" s="13"/>
      <c r="E311" s="13"/>
    </row>
    <row r="312" spans="4:5" ht="13.5" customHeight="1" x14ac:dyDescent="0.3">
      <c r="D312" s="13"/>
      <c r="E312" s="13"/>
    </row>
    <row r="313" spans="4:5" ht="13.5" customHeight="1" x14ac:dyDescent="0.3">
      <c r="D313" s="13"/>
      <c r="E313" s="13"/>
    </row>
    <row r="314" spans="4:5" ht="13.5" customHeight="1" x14ac:dyDescent="0.3">
      <c r="D314" s="13"/>
      <c r="E314" s="13"/>
    </row>
    <row r="315" spans="4:5" ht="13.5" customHeight="1" x14ac:dyDescent="0.3">
      <c r="D315" s="13"/>
      <c r="E315" s="13"/>
    </row>
    <row r="316" spans="4:5" ht="13.5" customHeight="1" x14ac:dyDescent="0.3">
      <c r="D316" s="13"/>
      <c r="E316" s="13"/>
    </row>
    <row r="317" spans="4:5" ht="13.5" customHeight="1" x14ac:dyDescent="0.3">
      <c r="D317" s="13"/>
      <c r="E317" s="13"/>
    </row>
    <row r="318" spans="4:5" ht="13.5" customHeight="1" x14ac:dyDescent="0.3">
      <c r="D318" s="13"/>
      <c r="E318" s="13"/>
    </row>
    <row r="319" spans="4:5" ht="13.5" customHeight="1" x14ac:dyDescent="0.3">
      <c r="D319" s="13"/>
      <c r="E319" s="13"/>
    </row>
    <row r="320" spans="4:5" ht="13.5" customHeight="1" x14ac:dyDescent="0.3">
      <c r="D320" s="13"/>
      <c r="E320" s="13"/>
    </row>
    <row r="321" spans="4:5" ht="13.5" customHeight="1" x14ac:dyDescent="0.3">
      <c r="D321" s="13"/>
      <c r="E321" s="13"/>
    </row>
    <row r="322" spans="4:5" ht="13.5" customHeight="1" x14ac:dyDescent="0.3">
      <c r="D322" s="13"/>
      <c r="E322" s="13"/>
    </row>
    <row r="323" spans="4:5" ht="13.5" customHeight="1" x14ac:dyDescent="0.3">
      <c r="D323" s="13"/>
      <c r="E323" s="13"/>
    </row>
    <row r="324" spans="4:5" ht="13.5" customHeight="1" x14ac:dyDescent="0.3">
      <c r="D324" s="13"/>
      <c r="E324" s="13"/>
    </row>
    <row r="325" spans="4:5" ht="13.5" customHeight="1" x14ac:dyDescent="0.3">
      <c r="D325" s="13"/>
      <c r="E325" s="13"/>
    </row>
    <row r="326" spans="4:5" ht="13.5" customHeight="1" x14ac:dyDescent="0.3">
      <c r="D326" s="13"/>
      <c r="E326" s="13"/>
    </row>
    <row r="327" spans="4:5" ht="13.5" customHeight="1" x14ac:dyDescent="0.3">
      <c r="D327" s="13"/>
      <c r="E327" s="13"/>
    </row>
    <row r="328" spans="4:5" ht="13.5" customHeight="1" x14ac:dyDescent="0.3">
      <c r="D328" s="13"/>
      <c r="E328" s="13"/>
    </row>
    <row r="329" spans="4:5" ht="13.5" customHeight="1" x14ac:dyDescent="0.3">
      <c r="D329" s="13"/>
      <c r="E329" s="13"/>
    </row>
    <row r="330" spans="4:5" ht="13.5" customHeight="1" x14ac:dyDescent="0.3">
      <c r="D330" s="13"/>
      <c r="E330" s="13"/>
    </row>
    <row r="331" spans="4:5" ht="13.5" customHeight="1" x14ac:dyDescent="0.3">
      <c r="D331" s="13"/>
      <c r="E331" s="13"/>
    </row>
    <row r="332" spans="4:5" ht="13.5" customHeight="1" x14ac:dyDescent="0.3">
      <c r="D332" s="13"/>
      <c r="E332" s="13"/>
    </row>
    <row r="333" spans="4:5" ht="13.5" customHeight="1" x14ac:dyDescent="0.3">
      <c r="D333" s="13"/>
      <c r="E333" s="13"/>
    </row>
    <row r="334" spans="4:5" ht="13.5" customHeight="1" x14ac:dyDescent="0.3">
      <c r="D334" s="13"/>
      <c r="E334" s="13"/>
    </row>
    <row r="335" spans="4:5" ht="13.5" customHeight="1" x14ac:dyDescent="0.3">
      <c r="D335" s="13"/>
      <c r="E335" s="13"/>
    </row>
    <row r="336" spans="4:5" ht="13.5" customHeight="1" x14ac:dyDescent="0.3">
      <c r="D336" s="13"/>
      <c r="E336" s="13"/>
    </row>
    <row r="337" spans="4:5" ht="13.5" customHeight="1" x14ac:dyDescent="0.3">
      <c r="D337" s="13"/>
      <c r="E337" s="13"/>
    </row>
    <row r="338" spans="4:5" ht="13.5" customHeight="1" x14ac:dyDescent="0.3">
      <c r="D338" s="13"/>
      <c r="E338" s="13"/>
    </row>
    <row r="339" spans="4:5" ht="13.5" customHeight="1" x14ac:dyDescent="0.3">
      <c r="D339" s="13"/>
      <c r="E339" s="13"/>
    </row>
    <row r="340" spans="4:5" ht="13.5" customHeight="1" x14ac:dyDescent="0.3">
      <c r="D340" s="13"/>
      <c r="E340" s="13"/>
    </row>
    <row r="341" spans="4:5" ht="13.5" customHeight="1" x14ac:dyDescent="0.3">
      <c r="D341" s="13"/>
      <c r="E341" s="13"/>
    </row>
    <row r="342" spans="4:5" ht="13.5" customHeight="1" x14ac:dyDescent="0.3">
      <c r="D342" s="13"/>
      <c r="E342" s="13"/>
    </row>
    <row r="343" spans="4:5" ht="13.5" customHeight="1" x14ac:dyDescent="0.3">
      <c r="D343" s="13"/>
      <c r="E343" s="13"/>
    </row>
    <row r="344" spans="4:5" ht="13.5" customHeight="1" x14ac:dyDescent="0.3">
      <c r="D344" s="13"/>
      <c r="E344" s="13"/>
    </row>
    <row r="345" spans="4:5" ht="13.5" customHeight="1" x14ac:dyDescent="0.3">
      <c r="D345" s="13"/>
      <c r="E345" s="13"/>
    </row>
    <row r="346" spans="4:5" ht="13.5" customHeight="1" x14ac:dyDescent="0.3">
      <c r="D346" s="13"/>
      <c r="E346" s="13"/>
    </row>
    <row r="347" spans="4:5" ht="13.5" customHeight="1" x14ac:dyDescent="0.3">
      <c r="D347" s="13"/>
      <c r="E347" s="13"/>
    </row>
    <row r="348" spans="4:5" ht="13.5" customHeight="1" x14ac:dyDescent="0.3">
      <c r="D348" s="13"/>
      <c r="E348" s="13"/>
    </row>
    <row r="349" spans="4:5" ht="13.5" customHeight="1" x14ac:dyDescent="0.3">
      <c r="D349" s="13"/>
      <c r="E349" s="13"/>
    </row>
    <row r="350" spans="4:5" ht="13.5" customHeight="1" x14ac:dyDescent="0.3">
      <c r="D350" s="13"/>
      <c r="E350" s="13"/>
    </row>
    <row r="351" spans="4:5" ht="13.5" customHeight="1" x14ac:dyDescent="0.3">
      <c r="D351" s="13"/>
      <c r="E351" s="13"/>
    </row>
    <row r="352" spans="4:5" ht="13.5" customHeight="1" x14ac:dyDescent="0.3">
      <c r="D352" s="13"/>
      <c r="E352" s="13"/>
    </row>
    <row r="353" spans="4:5" ht="13.5" customHeight="1" x14ac:dyDescent="0.3">
      <c r="D353" s="13"/>
      <c r="E353" s="13"/>
    </row>
    <row r="354" spans="4:5" ht="13.5" customHeight="1" x14ac:dyDescent="0.3">
      <c r="D354" s="13"/>
      <c r="E354" s="13"/>
    </row>
    <row r="355" spans="4:5" ht="13.5" customHeight="1" x14ac:dyDescent="0.3">
      <c r="D355" s="13"/>
      <c r="E355" s="13"/>
    </row>
    <row r="356" spans="4:5" ht="13.5" customHeight="1" x14ac:dyDescent="0.3">
      <c r="D356" s="13"/>
      <c r="E356" s="13"/>
    </row>
    <row r="357" spans="4:5" ht="13.5" customHeight="1" x14ac:dyDescent="0.3">
      <c r="D357" s="13"/>
      <c r="E357" s="13"/>
    </row>
    <row r="358" spans="4:5" ht="13.5" customHeight="1" x14ac:dyDescent="0.3">
      <c r="D358" s="13"/>
      <c r="E358" s="13"/>
    </row>
    <row r="359" spans="4:5" ht="13.5" customHeight="1" x14ac:dyDescent="0.3">
      <c r="D359" s="13"/>
      <c r="E359" s="13"/>
    </row>
    <row r="360" spans="4:5" ht="13.5" customHeight="1" x14ac:dyDescent="0.3">
      <c r="D360" s="13"/>
      <c r="E360" s="13"/>
    </row>
    <row r="361" spans="4:5" ht="13.5" customHeight="1" x14ac:dyDescent="0.3">
      <c r="D361" s="13"/>
      <c r="E361" s="13"/>
    </row>
    <row r="362" spans="4:5" ht="13.5" customHeight="1" x14ac:dyDescent="0.3">
      <c r="D362" s="13"/>
      <c r="E362" s="13"/>
    </row>
    <row r="363" spans="4:5" ht="13.5" customHeight="1" x14ac:dyDescent="0.3">
      <c r="D363" s="13"/>
      <c r="E363" s="13"/>
    </row>
    <row r="364" spans="4:5" ht="13.5" customHeight="1" x14ac:dyDescent="0.3">
      <c r="D364" s="13"/>
      <c r="E364" s="13"/>
    </row>
    <row r="365" spans="4:5" ht="13.5" customHeight="1" x14ac:dyDescent="0.3">
      <c r="D365" s="13"/>
      <c r="E365" s="13"/>
    </row>
    <row r="366" spans="4:5" ht="13.5" customHeight="1" x14ac:dyDescent="0.3">
      <c r="D366" s="13"/>
      <c r="E366" s="13"/>
    </row>
    <row r="367" spans="4:5" ht="13.5" customHeight="1" x14ac:dyDescent="0.3">
      <c r="D367" s="13"/>
      <c r="E367" s="13"/>
    </row>
    <row r="368" spans="4:5" ht="13.5" customHeight="1" x14ac:dyDescent="0.3">
      <c r="D368" s="13"/>
      <c r="E368" s="13"/>
    </row>
    <row r="369" spans="4:5" ht="13.5" customHeight="1" x14ac:dyDescent="0.3">
      <c r="D369" s="13"/>
      <c r="E369" s="13"/>
    </row>
    <row r="370" spans="4:5" ht="13.5" customHeight="1" x14ac:dyDescent="0.3">
      <c r="D370" s="13"/>
      <c r="E370" s="13"/>
    </row>
    <row r="371" spans="4:5" ht="13.5" customHeight="1" x14ac:dyDescent="0.3">
      <c r="D371" s="13"/>
      <c r="E371" s="13"/>
    </row>
    <row r="372" spans="4:5" ht="13.5" customHeight="1" x14ac:dyDescent="0.3">
      <c r="D372" s="13"/>
      <c r="E372" s="13"/>
    </row>
    <row r="373" spans="4:5" ht="13.5" customHeight="1" x14ac:dyDescent="0.3">
      <c r="D373" s="13"/>
      <c r="E373" s="13"/>
    </row>
    <row r="374" spans="4:5" ht="13.5" customHeight="1" x14ac:dyDescent="0.3">
      <c r="D374" s="13"/>
      <c r="E374" s="13"/>
    </row>
    <row r="375" spans="4:5" ht="13.5" customHeight="1" x14ac:dyDescent="0.3">
      <c r="D375" s="13"/>
      <c r="E375" s="13"/>
    </row>
    <row r="376" spans="4:5" ht="13.5" customHeight="1" x14ac:dyDescent="0.3">
      <c r="D376" s="13"/>
      <c r="E376" s="13"/>
    </row>
    <row r="377" spans="4:5" ht="13.5" customHeight="1" x14ac:dyDescent="0.3">
      <c r="D377" s="13"/>
      <c r="E377" s="13"/>
    </row>
    <row r="378" spans="4:5" ht="13.5" customHeight="1" x14ac:dyDescent="0.3">
      <c r="D378" s="13"/>
      <c r="E378" s="13"/>
    </row>
    <row r="379" spans="4:5" ht="13.5" customHeight="1" x14ac:dyDescent="0.3">
      <c r="D379" s="13"/>
      <c r="E379" s="13"/>
    </row>
    <row r="380" spans="4:5" ht="13.5" customHeight="1" x14ac:dyDescent="0.3">
      <c r="D380" s="13"/>
      <c r="E380" s="13"/>
    </row>
    <row r="381" spans="4:5" ht="13.5" customHeight="1" x14ac:dyDescent="0.3">
      <c r="D381" s="13"/>
      <c r="E381" s="13"/>
    </row>
    <row r="382" spans="4:5" ht="13.5" customHeight="1" x14ac:dyDescent="0.3">
      <c r="D382" s="13"/>
      <c r="E382" s="13"/>
    </row>
    <row r="383" spans="4:5" ht="13.5" customHeight="1" x14ac:dyDescent="0.3">
      <c r="D383" s="13"/>
      <c r="E383" s="13"/>
    </row>
    <row r="384" spans="4:5" ht="13.5" customHeight="1" x14ac:dyDescent="0.3">
      <c r="D384" s="13"/>
      <c r="E384" s="13"/>
    </row>
    <row r="385" spans="4:5" ht="13.5" customHeight="1" x14ac:dyDescent="0.3">
      <c r="D385" s="13"/>
      <c r="E385" s="13"/>
    </row>
    <row r="386" spans="4:5" ht="13.5" customHeight="1" x14ac:dyDescent="0.3">
      <c r="D386" s="13"/>
      <c r="E386" s="13"/>
    </row>
    <row r="387" spans="4:5" ht="13.5" customHeight="1" x14ac:dyDescent="0.3">
      <c r="D387" s="13"/>
      <c r="E387" s="13"/>
    </row>
    <row r="388" spans="4:5" ht="13.5" customHeight="1" x14ac:dyDescent="0.3">
      <c r="D388" s="13"/>
      <c r="E388" s="13"/>
    </row>
    <row r="389" spans="4:5" ht="13.5" customHeight="1" x14ac:dyDescent="0.3">
      <c r="D389" s="13"/>
      <c r="E389" s="13"/>
    </row>
    <row r="390" spans="4:5" ht="13.5" customHeight="1" x14ac:dyDescent="0.3">
      <c r="D390" s="13"/>
      <c r="E390" s="13"/>
    </row>
    <row r="391" spans="4:5" ht="13.5" customHeight="1" x14ac:dyDescent="0.3">
      <c r="D391" s="13"/>
      <c r="E391" s="13"/>
    </row>
    <row r="392" spans="4:5" ht="13.5" customHeight="1" x14ac:dyDescent="0.3">
      <c r="D392" s="13"/>
      <c r="E392" s="13"/>
    </row>
    <row r="393" spans="4:5" ht="13.5" customHeight="1" x14ac:dyDescent="0.3">
      <c r="D393" s="13"/>
      <c r="E393" s="13"/>
    </row>
    <row r="394" spans="4:5" ht="13.5" customHeight="1" x14ac:dyDescent="0.3">
      <c r="D394" s="13"/>
      <c r="E394" s="13"/>
    </row>
    <row r="395" spans="4:5" ht="13.5" customHeight="1" x14ac:dyDescent="0.3">
      <c r="D395" s="13"/>
      <c r="E395" s="13"/>
    </row>
    <row r="396" spans="4:5" ht="13.5" customHeight="1" x14ac:dyDescent="0.3">
      <c r="D396" s="13"/>
      <c r="E396" s="13"/>
    </row>
    <row r="397" spans="4:5" ht="13.5" customHeight="1" x14ac:dyDescent="0.3">
      <c r="D397" s="13"/>
      <c r="E397" s="13"/>
    </row>
    <row r="398" spans="4:5" ht="13.5" customHeight="1" x14ac:dyDescent="0.3">
      <c r="D398" s="13"/>
      <c r="E398" s="13"/>
    </row>
    <row r="399" spans="4:5" ht="13.5" customHeight="1" x14ac:dyDescent="0.3">
      <c r="D399" s="13"/>
      <c r="E399" s="13"/>
    </row>
    <row r="400" spans="4:5" ht="13.5" customHeight="1" x14ac:dyDescent="0.3">
      <c r="D400" s="13"/>
      <c r="E400" s="13"/>
    </row>
    <row r="401" spans="4:5" ht="13.5" customHeight="1" x14ac:dyDescent="0.3">
      <c r="D401" s="13"/>
      <c r="E401" s="13"/>
    </row>
    <row r="402" spans="4:5" ht="13.5" customHeight="1" x14ac:dyDescent="0.3">
      <c r="D402" s="13"/>
      <c r="E402" s="13"/>
    </row>
    <row r="403" spans="4:5" ht="13.5" customHeight="1" x14ac:dyDescent="0.3">
      <c r="D403" s="13"/>
      <c r="E403" s="13"/>
    </row>
    <row r="404" spans="4:5" ht="13.5" customHeight="1" x14ac:dyDescent="0.3">
      <c r="D404" s="13"/>
      <c r="E404" s="13"/>
    </row>
    <row r="405" spans="4:5" ht="13.5" customHeight="1" x14ac:dyDescent="0.3">
      <c r="D405" s="13"/>
      <c r="E405" s="13"/>
    </row>
    <row r="406" spans="4:5" ht="13.5" customHeight="1" x14ac:dyDescent="0.3">
      <c r="D406" s="13"/>
      <c r="E406" s="13"/>
    </row>
    <row r="407" spans="4:5" ht="13.5" customHeight="1" x14ac:dyDescent="0.3">
      <c r="D407" s="13"/>
      <c r="E407" s="13"/>
    </row>
    <row r="408" spans="4:5" ht="13.5" customHeight="1" x14ac:dyDescent="0.3">
      <c r="D408" s="13"/>
      <c r="E408" s="13"/>
    </row>
    <row r="409" spans="4:5" ht="13.5" customHeight="1" x14ac:dyDescent="0.3">
      <c r="D409" s="13"/>
      <c r="E409" s="13"/>
    </row>
    <row r="410" spans="4:5" ht="13.5" customHeight="1" x14ac:dyDescent="0.3">
      <c r="D410" s="13"/>
      <c r="E410" s="13"/>
    </row>
    <row r="411" spans="4:5" ht="13.5" customHeight="1" x14ac:dyDescent="0.3">
      <c r="D411" s="13"/>
      <c r="E411" s="13"/>
    </row>
    <row r="412" spans="4:5" ht="13.5" customHeight="1" x14ac:dyDescent="0.3">
      <c r="D412" s="13"/>
      <c r="E412" s="13"/>
    </row>
    <row r="413" spans="4:5" ht="13.5" customHeight="1" x14ac:dyDescent="0.3">
      <c r="D413" s="13"/>
      <c r="E413" s="13"/>
    </row>
    <row r="414" spans="4:5" ht="13.5" customHeight="1" x14ac:dyDescent="0.3">
      <c r="D414" s="13"/>
      <c r="E414" s="13"/>
    </row>
    <row r="415" spans="4:5" ht="13.5" customHeight="1" x14ac:dyDescent="0.3">
      <c r="D415" s="13"/>
      <c r="E415" s="13"/>
    </row>
    <row r="416" spans="4:5" ht="13.5" customHeight="1" x14ac:dyDescent="0.3">
      <c r="D416" s="13"/>
      <c r="E416" s="13"/>
    </row>
    <row r="417" spans="4:5" ht="13.5" customHeight="1" x14ac:dyDescent="0.3">
      <c r="D417" s="13"/>
      <c r="E417" s="13"/>
    </row>
    <row r="418" spans="4:5" ht="13.5" customHeight="1" x14ac:dyDescent="0.3">
      <c r="D418" s="13"/>
      <c r="E418" s="13"/>
    </row>
    <row r="419" spans="4:5" ht="13.5" customHeight="1" x14ac:dyDescent="0.3">
      <c r="D419" s="13"/>
      <c r="E419" s="13"/>
    </row>
    <row r="420" spans="4:5" ht="13.5" customHeight="1" x14ac:dyDescent="0.3">
      <c r="D420" s="13"/>
      <c r="E420" s="13"/>
    </row>
    <row r="421" spans="4:5" ht="13.5" customHeight="1" x14ac:dyDescent="0.3">
      <c r="D421" s="13"/>
      <c r="E421" s="13"/>
    </row>
    <row r="422" spans="4:5" ht="13.5" customHeight="1" x14ac:dyDescent="0.3">
      <c r="D422" s="13"/>
      <c r="E422" s="13"/>
    </row>
    <row r="423" spans="4:5" ht="13.5" customHeight="1" x14ac:dyDescent="0.3">
      <c r="D423" s="13"/>
      <c r="E423" s="13"/>
    </row>
    <row r="424" spans="4:5" ht="13.5" customHeight="1" x14ac:dyDescent="0.3">
      <c r="D424" s="13"/>
      <c r="E424" s="13"/>
    </row>
    <row r="425" spans="4:5" ht="13.5" customHeight="1" x14ac:dyDescent="0.3">
      <c r="D425" s="13"/>
      <c r="E425" s="13"/>
    </row>
    <row r="426" spans="4:5" ht="13.5" customHeight="1" x14ac:dyDescent="0.3">
      <c r="D426" s="13"/>
      <c r="E426" s="13"/>
    </row>
    <row r="427" spans="4:5" ht="13.5" customHeight="1" x14ac:dyDescent="0.3">
      <c r="D427" s="13"/>
      <c r="E427" s="13"/>
    </row>
    <row r="428" spans="4:5" ht="13.5" customHeight="1" x14ac:dyDescent="0.3">
      <c r="D428" s="13"/>
      <c r="E428" s="13"/>
    </row>
    <row r="429" spans="4:5" ht="13.5" customHeight="1" x14ac:dyDescent="0.3">
      <c r="D429" s="13"/>
      <c r="E429" s="13"/>
    </row>
    <row r="430" spans="4:5" ht="13.5" customHeight="1" x14ac:dyDescent="0.3">
      <c r="D430" s="13"/>
      <c r="E430" s="13"/>
    </row>
    <row r="431" spans="4:5" ht="13.5" customHeight="1" x14ac:dyDescent="0.3">
      <c r="D431" s="13"/>
      <c r="E431" s="13"/>
    </row>
    <row r="432" spans="4:5" ht="13.5" customHeight="1" x14ac:dyDescent="0.3">
      <c r="D432" s="13"/>
      <c r="E432" s="13"/>
    </row>
    <row r="433" spans="4:5" ht="13.5" customHeight="1" x14ac:dyDescent="0.3">
      <c r="D433" s="13"/>
      <c r="E433" s="13"/>
    </row>
    <row r="434" spans="4:5" ht="13.5" customHeight="1" x14ac:dyDescent="0.3">
      <c r="D434" s="13"/>
      <c r="E434" s="13"/>
    </row>
    <row r="435" spans="4:5" ht="13.5" customHeight="1" x14ac:dyDescent="0.3">
      <c r="D435" s="13"/>
      <c r="E435" s="13"/>
    </row>
    <row r="436" spans="4:5" ht="13.5" customHeight="1" x14ac:dyDescent="0.3">
      <c r="D436" s="13"/>
      <c r="E436" s="13"/>
    </row>
    <row r="437" spans="4:5" ht="13.5" customHeight="1" x14ac:dyDescent="0.3">
      <c r="D437" s="13"/>
      <c r="E437" s="13"/>
    </row>
    <row r="438" spans="4:5" ht="13.5" customHeight="1" x14ac:dyDescent="0.3">
      <c r="D438" s="13"/>
      <c r="E438" s="13"/>
    </row>
    <row r="439" spans="4:5" ht="13.5" customHeight="1" x14ac:dyDescent="0.3">
      <c r="D439" s="13"/>
      <c r="E439" s="13"/>
    </row>
    <row r="440" spans="4:5" ht="13.5" customHeight="1" x14ac:dyDescent="0.3">
      <c r="D440" s="13"/>
      <c r="E440" s="13"/>
    </row>
    <row r="441" spans="4:5" ht="13.5" customHeight="1" x14ac:dyDescent="0.3">
      <c r="D441" s="13"/>
      <c r="E441" s="13"/>
    </row>
    <row r="442" spans="4:5" ht="13.5" customHeight="1" x14ac:dyDescent="0.3">
      <c r="D442" s="13"/>
      <c r="E442" s="13"/>
    </row>
    <row r="443" spans="4:5" ht="13.5" customHeight="1" x14ac:dyDescent="0.3">
      <c r="D443" s="13"/>
      <c r="E443" s="13"/>
    </row>
    <row r="444" spans="4:5" ht="13.5" customHeight="1" x14ac:dyDescent="0.3">
      <c r="D444" s="13"/>
      <c r="E444" s="13"/>
    </row>
    <row r="445" spans="4:5" ht="13.5" customHeight="1" x14ac:dyDescent="0.3">
      <c r="D445" s="13"/>
      <c r="E445" s="13"/>
    </row>
    <row r="446" spans="4:5" ht="13.5" customHeight="1" x14ac:dyDescent="0.3">
      <c r="D446" s="13"/>
      <c r="E446" s="13"/>
    </row>
    <row r="447" spans="4:5" ht="13.5" customHeight="1" x14ac:dyDescent="0.3">
      <c r="D447" s="13"/>
      <c r="E447" s="13"/>
    </row>
    <row r="448" spans="4:5" ht="13.5" customHeight="1" x14ac:dyDescent="0.3">
      <c r="D448" s="13"/>
      <c r="E448" s="13"/>
    </row>
    <row r="449" spans="4:5" ht="13.5" customHeight="1" x14ac:dyDescent="0.3">
      <c r="D449" s="13"/>
      <c r="E449" s="13"/>
    </row>
    <row r="450" spans="4:5" ht="13.5" customHeight="1" x14ac:dyDescent="0.3">
      <c r="D450" s="13"/>
      <c r="E450" s="13"/>
    </row>
    <row r="451" spans="4:5" ht="13.5" customHeight="1" x14ac:dyDescent="0.3">
      <c r="D451" s="13"/>
      <c r="E451" s="13"/>
    </row>
    <row r="452" spans="4:5" ht="13.5" customHeight="1" x14ac:dyDescent="0.3">
      <c r="D452" s="13"/>
      <c r="E452" s="13"/>
    </row>
    <row r="453" spans="4:5" ht="13.5" customHeight="1" x14ac:dyDescent="0.3">
      <c r="D453" s="13"/>
      <c r="E453" s="13"/>
    </row>
    <row r="454" spans="4:5" ht="13.5" customHeight="1" x14ac:dyDescent="0.3">
      <c r="D454" s="13"/>
      <c r="E454" s="13"/>
    </row>
    <row r="455" spans="4:5" ht="13.5" customHeight="1" x14ac:dyDescent="0.3">
      <c r="D455" s="13"/>
      <c r="E455" s="13"/>
    </row>
    <row r="456" spans="4:5" ht="13.5" customHeight="1" x14ac:dyDescent="0.3">
      <c r="D456" s="13"/>
      <c r="E456" s="13"/>
    </row>
    <row r="457" spans="4:5" ht="13.5" customHeight="1" x14ac:dyDescent="0.3">
      <c r="D457" s="13"/>
      <c r="E457" s="13"/>
    </row>
    <row r="458" spans="4:5" ht="13.5" customHeight="1" x14ac:dyDescent="0.3">
      <c r="D458" s="13"/>
      <c r="E458" s="13"/>
    </row>
    <row r="459" spans="4:5" ht="13.5" customHeight="1" x14ac:dyDescent="0.3">
      <c r="D459" s="13"/>
      <c r="E459" s="13"/>
    </row>
    <row r="460" spans="4:5" ht="13.5" customHeight="1" x14ac:dyDescent="0.3">
      <c r="D460" s="13"/>
      <c r="E460" s="13"/>
    </row>
    <row r="461" spans="4:5" ht="13.5" customHeight="1" x14ac:dyDescent="0.3">
      <c r="D461" s="13"/>
      <c r="E461" s="13"/>
    </row>
    <row r="462" spans="4:5" ht="13.5" customHeight="1" x14ac:dyDescent="0.3">
      <c r="D462" s="13"/>
      <c r="E462" s="13"/>
    </row>
    <row r="463" spans="4:5" ht="13.5" customHeight="1" x14ac:dyDescent="0.3">
      <c r="D463" s="13"/>
      <c r="E463" s="13"/>
    </row>
    <row r="464" spans="4:5" ht="13.5" customHeight="1" x14ac:dyDescent="0.3">
      <c r="D464" s="13"/>
      <c r="E464" s="13"/>
    </row>
    <row r="465" spans="4:5" ht="13.5" customHeight="1" x14ac:dyDescent="0.3">
      <c r="D465" s="13"/>
      <c r="E465" s="13"/>
    </row>
    <row r="466" spans="4:5" ht="13.5" customHeight="1" x14ac:dyDescent="0.3">
      <c r="D466" s="13"/>
      <c r="E466" s="13"/>
    </row>
    <row r="467" spans="4:5" ht="13.5" customHeight="1" x14ac:dyDescent="0.3">
      <c r="D467" s="13"/>
      <c r="E467" s="13"/>
    </row>
    <row r="468" spans="4:5" ht="13.5" customHeight="1" x14ac:dyDescent="0.3">
      <c r="D468" s="13"/>
      <c r="E468" s="13"/>
    </row>
    <row r="469" spans="4:5" ht="13.5" customHeight="1" x14ac:dyDescent="0.3">
      <c r="D469" s="13"/>
      <c r="E469" s="13"/>
    </row>
    <row r="470" spans="4:5" ht="13.5" customHeight="1" x14ac:dyDescent="0.3">
      <c r="D470" s="13"/>
      <c r="E470" s="13"/>
    </row>
    <row r="471" spans="4:5" ht="13.5" customHeight="1" x14ac:dyDescent="0.3">
      <c r="D471" s="13"/>
      <c r="E471" s="13"/>
    </row>
    <row r="472" spans="4:5" ht="13.5" customHeight="1" x14ac:dyDescent="0.3">
      <c r="D472" s="13"/>
      <c r="E472" s="13"/>
    </row>
    <row r="473" spans="4:5" ht="13.5" customHeight="1" x14ac:dyDescent="0.3">
      <c r="D473" s="13"/>
      <c r="E473" s="13"/>
    </row>
    <row r="474" spans="4:5" ht="13.5" customHeight="1" x14ac:dyDescent="0.3">
      <c r="D474" s="13"/>
      <c r="E474" s="13"/>
    </row>
    <row r="475" spans="4:5" ht="13.5" customHeight="1" x14ac:dyDescent="0.3">
      <c r="D475" s="13"/>
      <c r="E475" s="13"/>
    </row>
    <row r="476" spans="4:5" ht="13.5" customHeight="1" x14ac:dyDescent="0.3">
      <c r="D476" s="13"/>
      <c r="E476" s="13"/>
    </row>
    <row r="477" spans="4:5" ht="13.5" customHeight="1" x14ac:dyDescent="0.3">
      <c r="D477" s="13"/>
      <c r="E477" s="13"/>
    </row>
    <row r="478" spans="4:5" ht="13.5" customHeight="1" x14ac:dyDescent="0.3">
      <c r="D478" s="13"/>
      <c r="E478" s="13"/>
    </row>
    <row r="479" spans="4:5" ht="13.5" customHeight="1" x14ac:dyDescent="0.3">
      <c r="D479" s="13"/>
      <c r="E479" s="13"/>
    </row>
    <row r="480" spans="4:5" ht="13.5" customHeight="1" x14ac:dyDescent="0.3">
      <c r="D480" s="13"/>
      <c r="E480" s="13"/>
    </row>
    <row r="481" spans="4:5" ht="13.5" customHeight="1" x14ac:dyDescent="0.3">
      <c r="D481" s="13"/>
      <c r="E481" s="13"/>
    </row>
    <row r="482" spans="4:5" ht="13.5" customHeight="1" x14ac:dyDescent="0.3">
      <c r="D482" s="13"/>
      <c r="E482" s="13"/>
    </row>
    <row r="483" spans="4:5" ht="13.5" customHeight="1" x14ac:dyDescent="0.3">
      <c r="D483" s="13"/>
      <c r="E483" s="13"/>
    </row>
    <row r="484" spans="4:5" ht="13.5" customHeight="1" x14ac:dyDescent="0.3">
      <c r="D484" s="13"/>
      <c r="E484" s="13"/>
    </row>
    <row r="485" spans="4:5" ht="13.5" customHeight="1" x14ac:dyDescent="0.3">
      <c r="D485" s="13"/>
      <c r="E485" s="13"/>
    </row>
    <row r="486" spans="4:5" ht="13.5" customHeight="1" x14ac:dyDescent="0.3">
      <c r="D486" s="13"/>
      <c r="E486" s="13"/>
    </row>
    <row r="487" spans="4:5" ht="13.5" customHeight="1" x14ac:dyDescent="0.3">
      <c r="D487" s="13"/>
      <c r="E487" s="13"/>
    </row>
    <row r="488" spans="4:5" ht="13.5" customHeight="1" x14ac:dyDescent="0.3">
      <c r="D488" s="13"/>
      <c r="E488" s="13"/>
    </row>
    <row r="489" spans="4:5" ht="13.5" customHeight="1" x14ac:dyDescent="0.3">
      <c r="D489" s="13"/>
      <c r="E489" s="13"/>
    </row>
    <row r="490" spans="4:5" ht="13.5" customHeight="1" x14ac:dyDescent="0.3">
      <c r="D490" s="13"/>
      <c r="E490" s="13"/>
    </row>
    <row r="491" spans="4:5" ht="13.5" customHeight="1" x14ac:dyDescent="0.3">
      <c r="D491" s="13"/>
      <c r="E491" s="13"/>
    </row>
    <row r="492" spans="4:5" ht="13.5" customHeight="1" x14ac:dyDescent="0.3">
      <c r="D492" s="13"/>
      <c r="E492" s="13"/>
    </row>
    <row r="493" spans="4:5" ht="13.5" customHeight="1" x14ac:dyDescent="0.3">
      <c r="D493" s="13"/>
      <c r="E493" s="13"/>
    </row>
    <row r="494" spans="4:5" ht="13.5" customHeight="1" x14ac:dyDescent="0.3">
      <c r="D494" s="13"/>
      <c r="E494" s="13"/>
    </row>
    <row r="495" spans="4:5" ht="13.5" customHeight="1" x14ac:dyDescent="0.3">
      <c r="D495" s="13"/>
      <c r="E495" s="13"/>
    </row>
    <row r="496" spans="4:5" ht="13.5" customHeight="1" x14ac:dyDescent="0.3">
      <c r="D496" s="13"/>
      <c r="E496" s="13"/>
    </row>
    <row r="497" spans="4:5" ht="13.5" customHeight="1" x14ac:dyDescent="0.3">
      <c r="D497" s="13"/>
      <c r="E497" s="13"/>
    </row>
    <row r="498" spans="4:5" ht="13.5" customHeight="1" x14ac:dyDescent="0.3">
      <c r="D498" s="13"/>
      <c r="E498" s="13"/>
    </row>
    <row r="499" spans="4:5" ht="13.5" customHeight="1" x14ac:dyDescent="0.3">
      <c r="D499" s="13"/>
      <c r="E499" s="13"/>
    </row>
    <row r="500" spans="4:5" ht="13.5" customHeight="1" x14ac:dyDescent="0.3">
      <c r="D500" s="13"/>
      <c r="E500" s="13"/>
    </row>
    <row r="501" spans="4:5" ht="13.5" customHeight="1" x14ac:dyDescent="0.3">
      <c r="D501" s="13"/>
      <c r="E501" s="13"/>
    </row>
    <row r="502" spans="4:5" ht="13.5" customHeight="1" x14ac:dyDescent="0.3">
      <c r="D502" s="13"/>
      <c r="E502" s="13"/>
    </row>
    <row r="503" spans="4:5" ht="13.5" customHeight="1" x14ac:dyDescent="0.3">
      <c r="D503" s="13"/>
      <c r="E503" s="13"/>
    </row>
    <row r="504" spans="4:5" ht="13.5" customHeight="1" x14ac:dyDescent="0.3">
      <c r="D504" s="13"/>
      <c r="E504" s="13"/>
    </row>
    <row r="505" spans="4:5" ht="13.5" customHeight="1" x14ac:dyDescent="0.3">
      <c r="D505" s="13"/>
      <c r="E505" s="13"/>
    </row>
    <row r="506" spans="4:5" ht="13.5" customHeight="1" x14ac:dyDescent="0.3">
      <c r="D506" s="13"/>
      <c r="E506" s="13"/>
    </row>
    <row r="507" spans="4:5" ht="13.5" customHeight="1" x14ac:dyDescent="0.3">
      <c r="D507" s="13"/>
      <c r="E507" s="13"/>
    </row>
    <row r="508" spans="4:5" ht="13.5" customHeight="1" x14ac:dyDescent="0.3">
      <c r="D508" s="13"/>
      <c r="E508" s="13"/>
    </row>
    <row r="509" spans="4:5" ht="13.5" customHeight="1" x14ac:dyDescent="0.3">
      <c r="D509" s="13"/>
      <c r="E509" s="13"/>
    </row>
    <row r="510" spans="4:5" ht="13.5" customHeight="1" x14ac:dyDescent="0.3">
      <c r="D510" s="13"/>
      <c r="E510" s="13"/>
    </row>
    <row r="511" spans="4:5" ht="13.5" customHeight="1" x14ac:dyDescent="0.3">
      <c r="D511" s="13"/>
      <c r="E511" s="13"/>
    </row>
    <row r="512" spans="4:5" ht="13.5" customHeight="1" x14ac:dyDescent="0.3">
      <c r="D512" s="13"/>
      <c r="E512" s="13"/>
    </row>
    <row r="513" spans="4:5" ht="13.5" customHeight="1" x14ac:dyDescent="0.3">
      <c r="D513" s="13"/>
      <c r="E513" s="13"/>
    </row>
    <row r="514" spans="4:5" ht="13.5" customHeight="1" x14ac:dyDescent="0.3">
      <c r="D514" s="13"/>
      <c r="E514" s="13"/>
    </row>
    <row r="515" spans="4:5" ht="13.5" customHeight="1" x14ac:dyDescent="0.3">
      <c r="D515" s="13"/>
      <c r="E515" s="13"/>
    </row>
    <row r="516" spans="4:5" ht="13.5" customHeight="1" x14ac:dyDescent="0.3">
      <c r="D516" s="13"/>
      <c r="E516" s="13"/>
    </row>
    <row r="517" spans="4:5" ht="13.5" customHeight="1" x14ac:dyDescent="0.3">
      <c r="D517" s="13"/>
      <c r="E517" s="13"/>
    </row>
    <row r="518" spans="4:5" ht="13.5" customHeight="1" x14ac:dyDescent="0.3">
      <c r="D518" s="13"/>
      <c r="E518" s="13"/>
    </row>
    <row r="519" spans="4:5" ht="13.5" customHeight="1" x14ac:dyDescent="0.3">
      <c r="D519" s="13"/>
      <c r="E519" s="13"/>
    </row>
    <row r="520" spans="4:5" ht="13.5" customHeight="1" x14ac:dyDescent="0.3">
      <c r="D520" s="13"/>
      <c r="E520" s="13"/>
    </row>
    <row r="521" spans="4:5" ht="13.5" customHeight="1" x14ac:dyDescent="0.3">
      <c r="D521" s="13"/>
      <c r="E521" s="13"/>
    </row>
    <row r="522" spans="4:5" ht="13.5" customHeight="1" x14ac:dyDescent="0.3">
      <c r="D522" s="13"/>
      <c r="E522" s="13"/>
    </row>
    <row r="523" spans="4:5" ht="13.5" customHeight="1" x14ac:dyDescent="0.3">
      <c r="D523" s="13"/>
      <c r="E523" s="13"/>
    </row>
    <row r="524" spans="4:5" ht="13.5" customHeight="1" x14ac:dyDescent="0.3">
      <c r="D524" s="13"/>
      <c r="E524" s="13"/>
    </row>
    <row r="525" spans="4:5" ht="13.5" customHeight="1" x14ac:dyDescent="0.3">
      <c r="D525" s="13"/>
      <c r="E525" s="13"/>
    </row>
    <row r="526" spans="4:5" ht="13.5" customHeight="1" x14ac:dyDescent="0.3">
      <c r="D526" s="13"/>
      <c r="E526" s="13"/>
    </row>
    <row r="527" spans="4:5" ht="13.5" customHeight="1" x14ac:dyDescent="0.3">
      <c r="D527" s="13"/>
      <c r="E527" s="13"/>
    </row>
    <row r="528" spans="4:5" ht="13.5" customHeight="1" x14ac:dyDescent="0.3">
      <c r="D528" s="13"/>
      <c r="E528" s="13"/>
    </row>
    <row r="529" spans="4:5" ht="13.5" customHeight="1" x14ac:dyDescent="0.3">
      <c r="D529" s="13"/>
      <c r="E529" s="13"/>
    </row>
    <row r="530" spans="4:5" ht="13.5" customHeight="1" x14ac:dyDescent="0.3">
      <c r="D530" s="13"/>
      <c r="E530" s="13"/>
    </row>
    <row r="531" spans="4:5" ht="13.5" customHeight="1" x14ac:dyDescent="0.3">
      <c r="D531" s="13"/>
      <c r="E531" s="13"/>
    </row>
    <row r="532" spans="4:5" ht="13.5" customHeight="1" x14ac:dyDescent="0.3">
      <c r="D532" s="13"/>
      <c r="E532" s="13"/>
    </row>
    <row r="533" spans="4:5" ht="13.5" customHeight="1" x14ac:dyDescent="0.3">
      <c r="D533" s="13"/>
      <c r="E533" s="13"/>
    </row>
    <row r="534" spans="4:5" ht="13.5" customHeight="1" x14ac:dyDescent="0.3">
      <c r="D534" s="13"/>
      <c r="E534" s="13"/>
    </row>
    <row r="535" spans="4:5" ht="13.5" customHeight="1" x14ac:dyDescent="0.3">
      <c r="D535" s="13"/>
      <c r="E535" s="13"/>
    </row>
    <row r="536" spans="4:5" ht="13.5" customHeight="1" x14ac:dyDescent="0.3">
      <c r="D536" s="13"/>
      <c r="E536" s="13"/>
    </row>
    <row r="537" spans="4:5" ht="13.5" customHeight="1" x14ac:dyDescent="0.3">
      <c r="D537" s="13"/>
      <c r="E537" s="13"/>
    </row>
    <row r="538" spans="4:5" ht="13.5" customHeight="1" x14ac:dyDescent="0.3">
      <c r="D538" s="13"/>
      <c r="E538" s="13"/>
    </row>
    <row r="539" spans="4:5" ht="13.5" customHeight="1" x14ac:dyDescent="0.3">
      <c r="D539" s="13"/>
      <c r="E539" s="13"/>
    </row>
    <row r="540" spans="4:5" ht="13.5" customHeight="1" x14ac:dyDescent="0.3">
      <c r="D540" s="13"/>
      <c r="E540" s="13"/>
    </row>
    <row r="541" spans="4:5" ht="13.5" customHeight="1" x14ac:dyDescent="0.3">
      <c r="D541" s="13"/>
      <c r="E541" s="13"/>
    </row>
    <row r="542" spans="4:5" ht="13.5" customHeight="1" x14ac:dyDescent="0.3">
      <c r="D542" s="13"/>
      <c r="E542" s="13"/>
    </row>
    <row r="543" spans="4:5" ht="13.5" customHeight="1" x14ac:dyDescent="0.3">
      <c r="D543" s="13"/>
      <c r="E543" s="13"/>
    </row>
    <row r="544" spans="4:5" ht="13.5" customHeight="1" x14ac:dyDescent="0.3">
      <c r="D544" s="13"/>
      <c r="E544" s="13"/>
    </row>
    <row r="545" spans="4:5" ht="13.5" customHeight="1" x14ac:dyDescent="0.3">
      <c r="D545" s="13"/>
      <c r="E545" s="13"/>
    </row>
    <row r="546" spans="4:5" ht="13.5" customHeight="1" x14ac:dyDescent="0.3">
      <c r="D546" s="13"/>
      <c r="E546" s="13"/>
    </row>
    <row r="547" spans="4:5" ht="13.5" customHeight="1" x14ac:dyDescent="0.3">
      <c r="D547" s="13"/>
      <c r="E547" s="13"/>
    </row>
    <row r="548" spans="4:5" ht="13.5" customHeight="1" x14ac:dyDescent="0.3">
      <c r="D548" s="13"/>
      <c r="E548" s="13"/>
    </row>
    <row r="549" spans="4:5" ht="13.5" customHeight="1" x14ac:dyDescent="0.3">
      <c r="D549" s="13"/>
      <c r="E549" s="13"/>
    </row>
    <row r="550" spans="4:5" ht="13.5" customHeight="1" x14ac:dyDescent="0.3">
      <c r="D550" s="13"/>
      <c r="E550" s="13"/>
    </row>
    <row r="551" spans="4:5" ht="13.5" customHeight="1" x14ac:dyDescent="0.3">
      <c r="D551" s="13"/>
      <c r="E551" s="13"/>
    </row>
    <row r="552" spans="4:5" ht="13.5" customHeight="1" x14ac:dyDescent="0.3">
      <c r="D552" s="13"/>
      <c r="E552" s="13"/>
    </row>
    <row r="553" spans="4:5" ht="13.5" customHeight="1" x14ac:dyDescent="0.3">
      <c r="D553" s="13"/>
      <c r="E553" s="13"/>
    </row>
    <row r="554" spans="4:5" ht="13.5" customHeight="1" x14ac:dyDescent="0.3">
      <c r="D554" s="13"/>
      <c r="E554" s="13"/>
    </row>
    <row r="555" spans="4:5" ht="13.5" customHeight="1" x14ac:dyDescent="0.3">
      <c r="D555" s="13"/>
      <c r="E555" s="13"/>
    </row>
    <row r="556" spans="4:5" ht="13.5" customHeight="1" x14ac:dyDescent="0.3">
      <c r="D556" s="13"/>
      <c r="E556" s="13"/>
    </row>
    <row r="557" spans="4:5" ht="13.5" customHeight="1" x14ac:dyDescent="0.3">
      <c r="D557" s="13"/>
      <c r="E557" s="13"/>
    </row>
    <row r="558" spans="4:5" ht="13.5" customHeight="1" x14ac:dyDescent="0.3">
      <c r="D558" s="13"/>
      <c r="E558" s="13"/>
    </row>
    <row r="559" spans="4:5" ht="13.5" customHeight="1" x14ac:dyDescent="0.3">
      <c r="D559" s="13"/>
      <c r="E559" s="13"/>
    </row>
    <row r="560" spans="4:5" ht="13.5" customHeight="1" x14ac:dyDescent="0.3">
      <c r="D560" s="13"/>
      <c r="E560" s="13"/>
    </row>
    <row r="561" spans="4:5" ht="13.5" customHeight="1" x14ac:dyDescent="0.3">
      <c r="D561" s="13"/>
      <c r="E561" s="13"/>
    </row>
    <row r="562" spans="4:5" ht="13.5" customHeight="1" x14ac:dyDescent="0.3">
      <c r="D562" s="13"/>
      <c r="E562" s="13"/>
    </row>
    <row r="563" spans="4:5" ht="13.5" customHeight="1" x14ac:dyDescent="0.3">
      <c r="D563" s="13"/>
      <c r="E563" s="13"/>
    </row>
    <row r="564" spans="4:5" ht="13.5" customHeight="1" x14ac:dyDescent="0.3">
      <c r="D564" s="13"/>
      <c r="E564" s="13"/>
    </row>
    <row r="565" spans="4:5" ht="13.5" customHeight="1" x14ac:dyDescent="0.3">
      <c r="D565" s="13"/>
      <c r="E565" s="13"/>
    </row>
    <row r="566" spans="4:5" ht="13.5" customHeight="1" x14ac:dyDescent="0.3">
      <c r="D566" s="13"/>
      <c r="E566" s="13"/>
    </row>
    <row r="567" spans="4:5" ht="13.5" customHeight="1" x14ac:dyDescent="0.3">
      <c r="D567" s="13"/>
      <c r="E567" s="13"/>
    </row>
    <row r="568" spans="4:5" ht="13.5" customHeight="1" x14ac:dyDescent="0.3">
      <c r="D568" s="13"/>
      <c r="E568" s="13"/>
    </row>
    <row r="569" spans="4:5" ht="13.5" customHeight="1" x14ac:dyDescent="0.3">
      <c r="D569" s="13"/>
      <c r="E569" s="13"/>
    </row>
    <row r="570" spans="4:5" ht="13.5" customHeight="1" x14ac:dyDescent="0.3">
      <c r="D570" s="13"/>
      <c r="E570" s="13"/>
    </row>
    <row r="571" spans="4:5" ht="13.5" customHeight="1" x14ac:dyDescent="0.3">
      <c r="D571" s="13"/>
      <c r="E571" s="13"/>
    </row>
    <row r="572" spans="4:5" ht="13.5" customHeight="1" x14ac:dyDescent="0.3">
      <c r="D572" s="13"/>
      <c r="E572" s="13"/>
    </row>
    <row r="573" spans="4:5" ht="13.5" customHeight="1" x14ac:dyDescent="0.3">
      <c r="D573" s="13"/>
      <c r="E573" s="13"/>
    </row>
    <row r="574" spans="4:5" ht="13.5" customHeight="1" x14ac:dyDescent="0.3">
      <c r="D574" s="13"/>
      <c r="E574" s="13"/>
    </row>
    <row r="575" spans="4:5" ht="13.5" customHeight="1" x14ac:dyDescent="0.3">
      <c r="D575" s="13"/>
      <c r="E575" s="13"/>
    </row>
    <row r="576" spans="4:5" ht="13.5" customHeight="1" x14ac:dyDescent="0.3">
      <c r="D576" s="13"/>
      <c r="E576" s="13"/>
    </row>
    <row r="577" spans="4:5" ht="13.5" customHeight="1" x14ac:dyDescent="0.3">
      <c r="D577" s="13"/>
      <c r="E577" s="13"/>
    </row>
    <row r="578" spans="4:5" ht="13.5" customHeight="1" x14ac:dyDescent="0.3">
      <c r="D578" s="13"/>
      <c r="E578" s="13"/>
    </row>
    <row r="579" spans="4:5" ht="13.5" customHeight="1" x14ac:dyDescent="0.3">
      <c r="D579" s="13"/>
      <c r="E579" s="13"/>
    </row>
    <row r="580" spans="4:5" ht="13.5" customHeight="1" x14ac:dyDescent="0.3">
      <c r="D580" s="13"/>
      <c r="E580" s="13"/>
    </row>
    <row r="581" spans="4:5" ht="13.5" customHeight="1" x14ac:dyDescent="0.3">
      <c r="D581" s="13"/>
      <c r="E581" s="13"/>
    </row>
    <row r="582" spans="4:5" ht="13.5" customHeight="1" x14ac:dyDescent="0.3">
      <c r="D582" s="13"/>
      <c r="E582" s="13"/>
    </row>
    <row r="583" spans="4:5" ht="13.5" customHeight="1" x14ac:dyDescent="0.3">
      <c r="D583" s="13"/>
      <c r="E583" s="13"/>
    </row>
    <row r="584" spans="4:5" ht="13.5" customHeight="1" x14ac:dyDescent="0.3">
      <c r="D584" s="13"/>
      <c r="E584" s="13"/>
    </row>
    <row r="585" spans="4:5" ht="13.5" customHeight="1" x14ac:dyDescent="0.3">
      <c r="D585" s="13"/>
      <c r="E585" s="13"/>
    </row>
    <row r="586" spans="4:5" ht="13.5" customHeight="1" x14ac:dyDescent="0.3">
      <c r="D586" s="13"/>
      <c r="E586" s="13"/>
    </row>
    <row r="587" spans="4:5" ht="13.5" customHeight="1" x14ac:dyDescent="0.3">
      <c r="D587" s="13"/>
      <c r="E587" s="13"/>
    </row>
    <row r="588" spans="4:5" ht="13.5" customHeight="1" x14ac:dyDescent="0.3">
      <c r="D588" s="13"/>
      <c r="E588" s="13"/>
    </row>
    <row r="589" spans="4:5" ht="13.5" customHeight="1" x14ac:dyDescent="0.3">
      <c r="D589" s="13"/>
      <c r="E589" s="13"/>
    </row>
    <row r="590" spans="4:5" ht="13.5" customHeight="1" x14ac:dyDescent="0.3">
      <c r="D590" s="13"/>
      <c r="E590" s="13"/>
    </row>
    <row r="591" spans="4:5" ht="13.5" customHeight="1" x14ac:dyDescent="0.3">
      <c r="D591" s="13"/>
      <c r="E591" s="13"/>
    </row>
    <row r="592" spans="4:5" ht="13.5" customHeight="1" x14ac:dyDescent="0.3">
      <c r="D592" s="13"/>
      <c r="E592" s="13"/>
    </row>
    <row r="593" spans="4:5" ht="13.5" customHeight="1" x14ac:dyDescent="0.3">
      <c r="D593" s="13"/>
      <c r="E593" s="13"/>
    </row>
    <row r="594" spans="4:5" ht="13.5" customHeight="1" x14ac:dyDescent="0.3">
      <c r="D594" s="13"/>
      <c r="E594" s="13"/>
    </row>
    <row r="595" spans="4:5" ht="13.5" customHeight="1" x14ac:dyDescent="0.3">
      <c r="D595" s="13"/>
      <c r="E595" s="13"/>
    </row>
    <row r="596" spans="4:5" ht="13.5" customHeight="1" x14ac:dyDescent="0.3">
      <c r="D596" s="13"/>
      <c r="E596" s="13"/>
    </row>
    <row r="597" spans="4:5" ht="13.5" customHeight="1" x14ac:dyDescent="0.3">
      <c r="D597" s="13"/>
      <c r="E597" s="13"/>
    </row>
    <row r="598" spans="4:5" ht="13.5" customHeight="1" x14ac:dyDescent="0.3">
      <c r="D598" s="13"/>
      <c r="E598" s="13"/>
    </row>
    <row r="599" spans="4:5" ht="13.5" customHeight="1" x14ac:dyDescent="0.3">
      <c r="D599" s="13"/>
      <c r="E599" s="13"/>
    </row>
    <row r="600" spans="4:5" ht="13.5" customHeight="1" x14ac:dyDescent="0.3">
      <c r="D600" s="13"/>
      <c r="E600" s="13"/>
    </row>
    <row r="601" spans="4:5" ht="13.5" customHeight="1" x14ac:dyDescent="0.3">
      <c r="D601" s="13"/>
      <c r="E601" s="13"/>
    </row>
    <row r="602" spans="4:5" ht="13.5" customHeight="1" x14ac:dyDescent="0.3">
      <c r="D602" s="13"/>
      <c r="E602" s="13"/>
    </row>
    <row r="603" spans="4:5" ht="13.5" customHeight="1" x14ac:dyDescent="0.3">
      <c r="D603" s="13"/>
      <c r="E603" s="13"/>
    </row>
    <row r="604" spans="4:5" ht="13.5" customHeight="1" x14ac:dyDescent="0.3">
      <c r="D604" s="13"/>
      <c r="E604" s="13"/>
    </row>
    <row r="605" spans="4:5" ht="13.5" customHeight="1" x14ac:dyDescent="0.3">
      <c r="D605" s="13"/>
      <c r="E605" s="13"/>
    </row>
    <row r="606" spans="4:5" ht="13.5" customHeight="1" x14ac:dyDescent="0.3">
      <c r="D606" s="13"/>
      <c r="E606" s="13"/>
    </row>
    <row r="607" spans="4:5" ht="13.5" customHeight="1" x14ac:dyDescent="0.3">
      <c r="D607" s="13"/>
      <c r="E607" s="13"/>
    </row>
    <row r="608" spans="4:5" ht="13.5" customHeight="1" x14ac:dyDescent="0.3">
      <c r="D608" s="13"/>
      <c r="E608" s="13"/>
    </row>
    <row r="609" spans="4:5" ht="13.5" customHeight="1" x14ac:dyDescent="0.3">
      <c r="D609" s="13"/>
      <c r="E609" s="13"/>
    </row>
    <row r="610" spans="4:5" ht="13.5" customHeight="1" x14ac:dyDescent="0.3">
      <c r="D610" s="13"/>
      <c r="E610" s="13"/>
    </row>
    <row r="611" spans="4:5" ht="13.5" customHeight="1" x14ac:dyDescent="0.3">
      <c r="D611" s="13"/>
      <c r="E611" s="13"/>
    </row>
    <row r="612" spans="4:5" ht="13.5" customHeight="1" x14ac:dyDescent="0.3">
      <c r="D612" s="13"/>
      <c r="E612" s="13"/>
    </row>
    <row r="613" spans="4:5" ht="13.5" customHeight="1" x14ac:dyDescent="0.3">
      <c r="D613" s="13"/>
      <c r="E613" s="13"/>
    </row>
    <row r="614" spans="4:5" ht="13.5" customHeight="1" x14ac:dyDescent="0.3">
      <c r="D614" s="13"/>
      <c r="E614" s="13"/>
    </row>
    <row r="615" spans="4:5" ht="13.5" customHeight="1" x14ac:dyDescent="0.3">
      <c r="D615" s="13"/>
      <c r="E615" s="13"/>
    </row>
    <row r="616" spans="4:5" ht="13.5" customHeight="1" x14ac:dyDescent="0.3">
      <c r="D616" s="13"/>
      <c r="E616" s="13"/>
    </row>
    <row r="617" spans="4:5" ht="13.5" customHeight="1" x14ac:dyDescent="0.3">
      <c r="D617" s="13"/>
      <c r="E617" s="13"/>
    </row>
    <row r="618" spans="4:5" ht="13.5" customHeight="1" x14ac:dyDescent="0.3">
      <c r="D618" s="13"/>
      <c r="E618" s="13"/>
    </row>
    <row r="619" spans="4:5" ht="13.5" customHeight="1" x14ac:dyDescent="0.3">
      <c r="D619" s="13"/>
      <c r="E619" s="13"/>
    </row>
    <row r="620" spans="4:5" ht="13.5" customHeight="1" x14ac:dyDescent="0.3">
      <c r="D620" s="13"/>
      <c r="E620" s="13"/>
    </row>
    <row r="621" spans="4:5" ht="13.5" customHeight="1" x14ac:dyDescent="0.3">
      <c r="D621" s="13"/>
      <c r="E621" s="13"/>
    </row>
    <row r="622" spans="4:5" ht="13.5" customHeight="1" x14ac:dyDescent="0.3">
      <c r="D622" s="13"/>
      <c r="E622" s="13"/>
    </row>
    <row r="623" spans="4:5" ht="13.5" customHeight="1" x14ac:dyDescent="0.3">
      <c r="D623" s="13"/>
      <c r="E623" s="13"/>
    </row>
    <row r="624" spans="4:5" ht="13.5" customHeight="1" x14ac:dyDescent="0.3">
      <c r="D624" s="13"/>
      <c r="E624" s="13"/>
    </row>
    <row r="625" spans="4:5" ht="13.5" customHeight="1" x14ac:dyDescent="0.3">
      <c r="D625" s="13"/>
      <c r="E625" s="13"/>
    </row>
    <row r="626" spans="4:5" ht="13.5" customHeight="1" x14ac:dyDescent="0.3">
      <c r="D626" s="13"/>
      <c r="E626" s="13"/>
    </row>
    <row r="627" spans="4:5" ht="13.5" customHeight="1" x14ac:dyDescent="0.3">
      <c r="D627" s="13"/>
      <c r="E627" s="13"/>
    </row>
    <row r="628" spans="4:5" ht="13.5" customHeight="1" x14ac:dyDescent="0.3">
      <c r="D628" s="13"/>
      <c r="E628" s="13"/>
    </row>
    <row r="629" spans="4:5" ht="13.5" customHeight="1" x14ac:dyDescent="0.3">
      <c r="D629" s="13"/>
      <c r="E629" s="13"/>
    </row>
    <row r="630" spans="4:5" ht="13.5" customHeight="1" x14ac:dyDescent="0.3">
      <c r="D630" s="13"/>
      <c r="E630" s="13"/>
    </row>
    <row r="631" spans="4:5" ht="13.5" customHeight="1" x14ac:dyDescent="0.3">
      <c r="D631" s="13"/>
      <c r="E631" s="13"/>
    </row>
    <row r="632" spans="4:5" ht="13.5" customHeight="1" x14ac:dyDescent="0.3">
      <c r="D632" s="13"/>
      <c r="E632" s="13"/>
    </row>
    <row r="633" spans="4:5" ht="13.5" customHeight="1" x14ac:dyDescent="0.3">
      <c r="D633" s="13"/>
      <c r="E633" s="13"/>
    </row>
    <row r="634" spans="4:5" ht="13.5" customHeight="1" x14ac:dyDescent="0.3">
      <c r="D634" s="13"/>
      <c r="E634" s="13"/>
    </row>
    <row r="635" spans="4:5" ht="13.5" customHeight="1" x14ac:dyDescent="0.3">
      <c r="D635" s="13"/>
      <c r="E635" s="13"/>
    </row>
    <row r="636" spans="4:5" ht="13.5" customHeight="1" x14ac:dyDescent="0.3">
      <c r="D636" s="13"/>
      <c r="E636" s="13"/>
    </row>
    <row r="637" spans="4:5" ht="13.5" customHeight="1" x14ac:dyDescent="0.3">
      <c r="D637" s="13"/>
      <c r="E637" s="13"/>
    </row>
    <row r="638" spans="4:5" ht="13.5" customHeight="1" x14ac:dyDescent="0.3">
      <c r="D638" s="13"/>
      <c r="E638" s="13"/>
    </row>
    <row r="639" spans="4:5" ht="13.5" customHeight="1" x14ac:dyDescent="0.3">
      <c r="D639" s="13"/>
      <c r="E639" s="13"/>
    </row>
    <row r="640" spans="4:5" ht="13.5" customHeight="1" x14ac:dyDescent="0.3">
      <c r="D640" s="13"/>
      <c r="E640" s="13"/>
    </row>
    <row r="641" spans="4:5" ht="13.5" customHeight="1" x14ac:dyDescent="0.3">
      <c r="D641" s="13"/>
      <c r="E641" s="13"/>
    </row>
    <row r="642" spans="4:5" ht="13.5" customHeight="1" x14ac:dyDescent="0.3">
      <c r="D642" s="13"/>
      <c r="E642" s="13"/>
    </row>
    <row r="643" spans="4:5" ht="13.5" customHeight="1" x14ac:dyDescent="0.3">
      <c r="D643" s="13"/>
      <c r="E643" s="13"/>
    </row>
    <row r="644" spans="4:5" ht="13.5" customHeight="1" x14ac:dyDescent="0.3">
      <c r="D644" s="13"/>
      <c r="E644" s="13"/>
    </row>
    <row r="645" spans="4:5" ht="13.5" customHeight="1" x14ac:dyDescent="0.3">
      <c r="D645" s="13"/>
      <c r="E645" s="13"/>
    </row>
    <row r="646" spans="4:5" ht="13.5" customHeight="1" x14ac:dyDescent="0.3">
      <c r="D646" s="13"/>
      <c r="E646" s="13"/>
    </row>
    <row r="647" spans="4:5" ht="13.5" customHeight="1" x14ac:dyDescent="0.3">
      <c r="D647" s="13"/>
      <c r="E647" s="13"/>
    </row>
    <row r="648" spans="4:5" ht="13.5" customHeight="1" x14ac:dyDescent="0.3">
      <c r="D648" s="13"/>
      <c r="E648" s="13"/>
    </row>
    <row r="649" spans="4:5" ht="13.5" customHeight="1" x14ac:dyDescent="0.3">
      <c r="D649" s="13"/>
      <c r="E649" s="13"/>
    </row>
    <row r="650" spans="4:5" ht="13.5" customHeight="1" x14ac:dyDescent="0.3">
      <c r="D650" s="13"/>
      <c r="E650" s="13"/>
    </row>
    <row r="651" spans="4:5" ht="13.5" customHeight="1" x14ac:dyDescent="0.3">
      <c r="D651" s="13"/>
      <c r="E651" s="13"/>
    </row>
    <row r="652" spans="4:5" ht="13.5" customHeight="1" x14ac:dyDescent="0.3">
      <c r="D652" s="13"/>
      <c r="E652" s="13"/>
    </row>
    <row r="653" spans="4:5" ht="13.5" customHeight="1" x14ac:dyDescent="0.3">
      <c r="D653" s="13"/>
      <c r="E653" s="13"/>
    </row>
    <row r="654" spans="4:5" ht="13.5" customHeight="1" x14ac:dyDescent="0.3">
      <c r="D654" s="13"/>
      <c r="E654" s="13"/>
    </row>
    <row r="655" spans="4:5" ht="13.5" customHeight="1" x14ac:dyDescent="0.3">
      <c r="D655" s="13"/>
      <c r="E655" s="13"/>
    </row>
    <row r="656" spans="4:5" ht="13.5" customHeight="1" x14ac:dyDescent="0.3">
      <c r="D656" s="13"/>
      <c r="E656" s="13"/>
    </row>
    <row r="657" spans="4:5" ht="13.5" customHeight="1" x14ac:dyDescent="0.3">
      <c r="D657" s="13"/>
      <c r="E657" s="13"/>
    </row>
    <row r="658" spans="4:5" ht="13.5" customHeight="1" x14ac:dyDescent="0.3">
      <c r="D658" s="13"/>
      <c r="E658" s="13"/>
    </row>
    <row r="659" spans="4:5" ht="13.5" customHeight="1" x14ac:dyDescent="0.3">
      <c r="D659" s="13"/>
      <c r="E659" s="13"/>
    </row>
    <row r="660" spans="4:5" ht="13.5" customHeight="1" x14ac:dyDescent="0.3">
      <c r="D660" s="13"/>
      <c r="E660" s="13"/>
    </row>
    <row r="661" spans="4:5" ht="13.5" customHeight="1" x14ac:dyDescent="0.3">
      <c r="D661" s="13"/>
      <c r="E661" s="13"/>
    </row>
    <row r="662" spans="4:5" ht="13.5" customHeight="1" x14ac:dyDescent="0.3">
      <c r="D662" s="13"/>
      <c r="E662" s="13"/>
    </row>
    <row r="663" spans="4:5" ht="13.5" customHeight="1" x14ac:dyDescent="0.3">
      <c r="D663" s="13"/>
      <c r="E663" s="13"/>
    </row>
    <row r="664" spans="4:5" ht="13.5" customHeight="1" x14ac:dyDescent="0.3">
      <c r="D664" s="13"/>
      <c r="E664" s="13"/>
    </row>
    <row r="665" spans="4:5" ht="13.5" customHeight="1" x14ac:dyDescent="0.3">
      <c r="D665" s="13"/>
      <c r="E665" s="13"/>
    </row>
    <row r="666" spans="4:5" ht="13.5" customHeight="1" x14ac:dyDescent="0.3">
      <c r="D666" s="13"/>
      <c r="E666" s="13"/>
    </row>
    <row r="667" spans="4:5" ht="13.5" customHeight="1" x14ac:dyDescent="0.3">
      <c r="D667" s="13"/>
      <c r="E667" s="13"/>
    </row>
    <row r="668" spans="4:5" ht="13.5" customHeight="1" x14ac:dyDescent="0.3">
      <c r="D668" s="13"/>
      <c r="E668" s="13"/>
    </row>
    <row r="669" spans="4:5" ht="13.5" customHeight="1" x14ac:dyDescent="0.3">
      <c r="D669" s="13"/>
      <c r="E669" s="13"/>
    </row>
    <row r="670" spans="4:5" ht="13.5" customHeight="1" x14ac:dyDescent="0.3">
      <c r="D670" s="13"/>
      <c r="E670" s="13"/>
    </row>
    <row r="671" spans="4:5" ht="13.5" customHeight="1" x14ac:dyDescent="0.3">
      <c r="D671" s="13"/>
      <c r="E671" s="13"/>
    </row>
    <row r="672" spans="4:5" ht="13.5" customHeight="1" x14ac:dyDescent="0.3">
      <c r="D672" s="13"/>
      <c r="E672" s="13"/>
    </row>
    <row r="673" spans="4:5" ht="13.5" customHeight="1" x14ac:dyDescent="0.3">
      <c r="D673" s="13"/>
      <c r="E673" s="13"/>
    </row>
    <row r="674" spans="4:5" ht="13.5" customHeight="1" x14ac:dyDescent="0.3">
      <c r="D674" s="13"/>
      <c r="E674" s="13"/>
    </row>
    <row r="675" spans="4:5" ht="13.5" customHeight="1" x14ac:dyDescent="0.3">
      <c r="D675" s="13"/>
      <c r="E675" s="13"/>
    </row>
    <row r="676" spans="4:5" ht="13.5" customHeight="1" x14ac:dyDescent="0.3">
      <c r="D676" s="13"/>
      <c r="E676" s="13"/>
    </row>
    <row r="677" spans="4:5" ht="13.5" customHeight="1" x14ac:dyDescent="0.3">
      <c r="D677" s="13"/>
      <c r="E677" s="13"/>
    </row>
    <row r="678" spans="4:5" ht="13.5" customHeight="1" x14ac:dyDescent="0.3">
      <c r="D678" s="13"/>
      <c r="E678" s="13"/>
    </row>
    <row r="679" spans="4:5" ht="13.5" customHeight="1" x14ac:dyDescent="0.3">
      <c r="D679" s="13"/>
      <c r="E679" s="13"/>
    </row>
    <row r="680" spans="4:5" ht="13.5" customHeight="1" x14ac:dyDescent="0.3">
      <c r="D680" s="13"/>
      <c r="E680" s="13"/>
    </row>
    <row r="681" spans="4:5" ht="13.5" customHeight="1" x14ac:dyDescent="0.3">
      <c r="D681" s="13"/>
      <c r="E681" s="13"/>
    </row>
    <row r="682" spans="4:5" ht="13.5" customHeight="1" x14ac:dyDescent="0.3">
      <c r="D682" s="13"/>
      <c r="E682" s="13"/>
    </row>
    <row r="683" spans="4:5" ht="13.5" customHeight="1" x14ac:dyDescent="0.3">
      <c r="D683" s="13"/>
      <c r="E683" s="13"/>
    </row>
    <row r="684" spans="4:5" ht="13.5" customHeight="1" x14ac:dyDescent="0.3">
      <c r="D684" s="13"/>
      <c r="E684" s="13"/>
    </row>
    <row r="685" spans="4:5" ht="13.5" customHeight="1" x14ac:dyDescent="0.3">
      <c r="D685" s="13"/>
      <c r="E685" s="13"/>
    </row>
    <row r="686" spans="4:5" ht="13.5" customHeight="1" x14ac:dyDescent="0.3">
      <c r="D686" s="13"/>
      <c r="E686" s="13"/>
    </row>
    <row r="687" spans="4:5" ht="13.5" customHeight="1" x14ac:dyDescent="0.3">
      <c r="D687" s="13"/>
      <c r="E687" s="13"/>
    </row>
    <row r="688" spans="4:5" ht="13.5" customHeight="1" x14ac:dyDescent="0.3">
      <c r="D688" s="13"/>
      <c r="E688" s="13"/>
    </row>
    <row r="689" spans="4:5" ht="13.5" customHeight="1" x14ac:dyDescent="0.3">
      <c r="D689" s="13"/>
      <c r="E689" s="13"/>
    </row>
    <row r="690" spans="4:5" ht="13.5" customHeight="1" x14ac:dyDescent="0.3">
      <c r="D690" s="13"/>
      <c r="E690" s="13"/>
    </row>
    <row r="691" spans="4:5" ht="13.5" customHeight="1" x14ac:dyDescent="0.3">
      <c r="D691" s="13"/>
      <c r="E691" s="13"/>
    </row>
    <row r="692" spans="4:5" ht="13.5" customHeight="1" x14ac:dyDescent="0.3">
      <c r="D692" s="13"/>
      <c r="E692" s="13"/>
    </row>
    <row r="693" spans="4:5" ht="13.5" customHeight="1" x14ac:dyDescent="0.3">
      <c r="D693" s="13"/>
      <c r="E693" s="13"/>
    </row>
    <row r="694" spans="4:5" ht="13.5" customHeight="1" x14ac:dyDescent="0.3">
      <c r="D694" s="13"/>
      <c r="E694" s="13"/>
    </row>
    <row r="695" spans="4:5" ht="13.5" customHeight="1" x14ac:dyDescent="0.3">
      <c r="D695" s="13"/>
      <c r="E695" s="13"/>
    </row>
    <row r="696" spans="4:5" ht="13.5" customHeight="1" x14ac:dyDescent="0.3">
      <c r="D696" s="13"/>
      <c r="E696" s="13"/>
    </row>
    <row r="697" spans="4:5" ht="13.5" customHeight="1" x14ac:dyDescent="0.3">
      <c r="D697" s="13"/>
      <c r="E697" s="13"/>
    </row>
    <row r="698" spans="4:5" ht="13.5" customHeight="1" x14ac:dyDescent="0.3">
      <c r="D698" s="13"/>
      <c r="E698" s="13"/>
    </row>
    <row r="699" spans="4:5" ht="13.5" customHeight="1" x14ac:dyDescent="0.3">
      <c r="D699" s="13"/>
      <c r="E699" s="13"/>
    </row>
    <row r="700" spans="4:5" ht="13.5" customHeight="1" x14ac:dyDescent="0.3">
      <c r="D700" s="13"/>
      <c r="E700" s="13"/>
    </row>
    <row r="701" spans="4:5" ht="13.5" customHeight="1" x14ac:dyDescent="0.3">
      <c r="D701" s="13"/>
      <c r="E701" s="13"/>
    </row>
    <row r="702" spans="4:5" ht="13.5" customHeight="1" x14ac:dyDescent="0.3">
      <c r="D702" s="13"/>
      <c r="E702" s="13"/>
    </row>
    <row r="703" spans="4:5" ht="13.5" customHeight="1" x14ac:dyDescent="0.3">
      <c r="D703" s="13"/>
      <c r="E703" s="13"/>
    </row>
    <row r="704" spans="4:5" ht="13.5" customHeight="1" x14ac:dyDescent="0.3">
      <c r="D704" s="13"/>
      <c r="E704" s="13"/>
    </row>
    <row r="705" spans="4:5" ht="13.5" customHeight="1" x14ac:dyDescent="0.3">
      <c r="D705" s="13"/>
      <c r="E705" s="13"/>
    </row>
    <row r="706" spans="4:5" ht="13.5" customHeight="1" x14ac:dyDescent="0.3">
      <c r="D706" s="13"/>
      <c r="E706" s="13"/>
    </row>
    <row r="707" spans="4:5" ht="13.5" customHeight="1" x14ac:dyDescent="0.3">
      <c r="D707" s="13"/>
      <c r="E707" s="13"/>
    </row>
    <row r="708" spans="4:5" ht="13.5" customHeight="1" x14ac:dyDescent="0.3">
      <c r="D708" s="13"/>
      <c r="E708" s="13"/>
    </row>
    <row r="709" spans="4:5" ht="13.5" customHeight="1" x14ac:dyDescent="0.3">
      <c r="D709" s="13"/>
      <c r="E709" s="13"/>
    </row>
    <row r="710" spans="4:5" ht="13.5" customHeight="1" x14ac:dyDescent="0.3">
      <c r="D710" s="13"/>
      <c r="E710" s="13"/>
    </row>
    <row r="711" spans="4:5" ht="13.5" customHeight="1" x14ac:dyDescent="0.3">
      <c r="D711" s="13"/>
      <c r="E711" s="13"/>
    </row>
    <row r="712" spans="4:5" ht="13.5" customHeight="1" x14ac:dyDescent="0.3">
      <c r="D712" s="13"/>
      <c r="E712" s="13"/>
    </row>
    <row r="713" spans="4:5" ht="13.5" customHeight="1" x14ac:dyDescent="0.3">
      <c r="D713" s="13"/>
      <c r="E713" s="13"/>
    </row>
    <row r="714" spans="4:5" ht="13.5" customHeight="1" x14ac:dyDescent="0.3">
      <c r="D714" s="13"/>
      <c r="E714" s="13"/>
    </row>
    <row r="715" spans="4:5" ht="13.5" customHeight="1" x14ac:dyDescent="0.3">
      <c r="D715" s="13"/>
      <c r="E715" s="13"/>
    </row>
    <row r="716" spans="4:5" ht="13.5" customHeight="1" x14ac:dyDescent="0.3">
      <c r="D716" s="13"/>
      <c r="E716" s="13"/>
    </row>
    <row r="717" spans="4:5" ht="13.5" customHeight="1" x14ac:dyDescent="0.3">
      <c r="D717" s="13"/>
      <c r="E717" s="13"/>
    </row>
    <row r="718" spans="4:5" ht="13.5" customHeight="1" x14ac:dyDescent="0.3">
      <c r="D718" s="13"/>
      <c r="E718" s="13"/>
    </row>
    <row r="719" spans="4:5" ht="13.5" customHeight="1" x14ac:dyDescent="0.3">
      <c r="D719" s="13"/>
      <c r="E719" s="13"/>
    </row>
    <row r="720" spans="4:5" ht="13.5" customHeight="1" x14ac:dyDescent="0.3">
      <c r="D720" s="13"/>
      <c r="E720" s="13"/>
    </row>
    <row r="721" spans="4:5" ht="13.5" customHeight="1" x14ac:dyDescent="0.3">
      <c r="D721" s="13"/>
      <c r="E721" s="13"/>
    </row>
    <row r="722" spans="4:5" ht="13.5" customHeight="1" x14ac:dyDescent="0.3">
      <c r="D722" s="13"/>
      <c r="E722" s="13"/>
    </row>
    <row r="723" spans="4:5" ht="13.5" customHeight="1" x14ac:dyDescent="0.3">
      <c r="D723" s="13"/>
      <c r="E723" s="13"/>
    </row>
    <row r="724" spans="4:5" ht="13.5" customHeight="1" x14ac:dyDescent="0.3">
      <c r="D724" s="13"/>
      <c r="E724" s="13"/>
    </row>
    <row r="725" spans="4:5" ht="13.5" customHeight="1" x14ac:dyDescent="0.3">
      <c r="D725" s="13"/>
      <c r="E725" s="13"/>
    </row>
    <row r="726" spans="4:5" ht="13.5" customHeight="1" x14ac:dyDescent="0.3">
      <c r="D726" s="13"/>
      <c r="E726" s="13"/>
    </row>
    <row r="727" spans="4:5" ht="13.5" customHeight="1" x14ac:dyDescent="0.3">
      <c r="D727" s="13"/>
      <c r="E727" s="13"/>
    </row>
    <row r="728" spans="4:5" ht="13.5" customHeight="1" x14ac:dyDescent="0.3">
      <c r="D728" s="13"/>
      <c r="E728" s="13"/>
    </row>
    <row r="729" spans="4:5" ht="13.5" customHeight="1" x14ac:dyDescent="0.3">
      <c r="D729" s="13"/>
      <c r="E729" s="13"/>
    </row>
    <row r="730" spans="4:5" ht="13.5" customHeight="1" x14ac:dyDescent="0.3">
      <c r="D730" s="13"/>
      <c r="E730" s="13"/>
    </row>
    <row r="731" spans="4:5" ht="13.5" customHeight="1" x14ac:dyDescent="0.3">
      <c r="D731" s="13"/>
      <c r="E731" s="13"/>
    </row>
    <row r="732" spans="4:5" ht="13.5" customHeight="1" x14ac:dyDescent="0.3">
      <c r="D732" s="13"/>
      <c r="E732" s="13"/>
    </row>
    <row r="733" spans="4:5" ht="13.5" customHeight="1" x14ac:dyDescent="0.3">
      <c r="D733" s="13"/>
      <c r="E733" s="13"/>
    </row>
    <row r="734" spans="4:5" ht="13.5" customHeight="1" x14ac:dyDescent="0.3">
      <c r="D734" s="13"/>
      <c r="E734" s="13"/>
    </row>
    <row r="735" spans="4:5" ht="13.5" customHeight="1" x14ac:dyDescent="0.3">
      <c r="D735" s="13"/>
      <c r="E735" s="13"/>
    </row>
    <row r="736" spans="4:5" ht="13.5" customHeight="1" x14ac:dyDescent="0.3">
      <c r="D736" s="13"/>
      <c r="E736" s="13"/>
    </row>
    <row r="737" spans="4:5" ht="13.5" customHeight="1" x14ac:dyDescent="0.3">
      <c r="D737" s="13"/>
      <c r="E737" s="13"/>
    </row>
    <row r="738" spans="4:5" ht="13.5" customHeight="1" x14ac:dyDescent="0.3">
      <c r="D738" s="13"/>
      <c r="E738" s="13"/>
    </row>
    <row r="739" spans="4:5" ht="13.5" customHeight="1" x14ac:dyDescent="0.3">
      <c r="D739" s="13"/>
      <c r="E739" s="13"/>
    </row>
    <row r="740" spans="4:5" ht="13.5" customHeight="1" x14ac:dyDescent="0.3">
      <c r="D740" s="13"/>
      <c r="E740" s="13"/>
    </row>
    <row r="741" spans="4:5" ht="13.5" customHeight="1" x14ac:dyDescent="0.3">
      <c r="D741" s="13"/>
      <c r="E741" s="13"/>
    </row>
    <row r="742" spans="4:5" ht="13.5" customHeight="1" x14ac:dyDescent="0.3">
      <c r="D742" s="13"/>
      <c r="E742" s="13"/>
    </row>
    <row r="743" spans="4:5" ht="13.5" customHeight="1" x14ac:dyDescent="0.3">
      <c r="D743" s="13"/>
      <c r="E743" s="13"/>
    </row>
    <row r="744" spans="4:5" ht="13.5" customHeight="1" x14ac:dyDescent="0.3">
      <c r="D744" s="13"/>
      <c r="E744" s="13"/>
    </row>
    <row r="745" spans="4:5" ht="13.5" customHeight="1" x14ac:dyDescent="0.3">
      <c r="D745" s="13"/>
      <c r="E745" s="13"/>
    </row>
    <row r="746" spans="4:5" ht="13.5" customHeight="1" x14ac:dyDescent="0.3">
      <c r="D746" s="13"/>
      <c r="E746" s="13"/>
    </row>
    <row r="747" spans="4:5" ht="13.5" customHeight="1" x14ac:dyDescent="0.3">
      <c r="D747" s="13"/>
      <c r="E747" s="13"/>
    </row>
    <row r="748" spans="4:5" ht="13.5" customHeight="1" x14ac:dyDescent="0.3">
      <c r="D748" s="13"/>
      <c r="E748" s="13"/>
    </row>
    <row r="749" spans="4:5" ht="13.5" customHeight="1" x14ac:dyDescent="0.3">
      <c r="D749" s="13"/>
      <c r="E749" s="13"/>
    </row>
    <row r="750" spans="4:5" ht="13.5" customHeight="1" x14ac:dyDescent="0.3">
      <c r="D750" s="13"/>
      <c r="E750" s="13"/>
    </row>
    <row r="751" spans="4:5" ht="13.5" customHeight="1" x14ac:dyDescent="0.3">
      <c r="D751" s="13"/>
      <c r="E751" s="13"/>
    </row>
    <row r="752" spans="4:5" ht="13.5" customHeight="1" x14ac:dyDescent="0.3">
      <c r="D752" s="13"/>
      <c r="E752" s="13"/>
    </row>
    <row r="753" spans="4:5" ht="13.5" customHeight="1" x14ac:dyDescent="0.3">
      <c r="D753" s="13"/>
      <c r="E753" s="13"/>
    </row>
    <row r="754" spans="4:5" ht="13.5" customHeight="1" x14ac:dyDescent="0.3">
      <c r="D754" s="13"/>
      <c r="E754" s="13"/>
    </row>
    <row r="755" spans="4:5" ht="13.5" customHeight="1" x14ac:dyDescent="0.3">
      <c r="D755" s="13"/>
      <c r="E755" s="13"/>
    </row>
    <row r="756" spans="4:5" ht="13.5" customHeight="1" x14ac:dyDescent="0.3">
      <c r="D756" s="13"/>
      <c r="E756" s="13"/>
    </row>
    <row r="757" spans="4:5" ht="13.5" customHeight="1" x14ac:dyDescent="0.3">
      <c r="D757" s="13"/>
      <c r="E757" s="13"/>
    </row>
    <row r="758" spans="4:5" ht="13.5" customHeight="1" x14ac:dyDescent="0.3">
      <c r="D758" s="13"/>
      <c r="E758" s="13"/>
    </row>
    <row r="759" spans="4:5" ht="13.5" customHeight="1" x14ac:dyDescent="0.3">
      <c r="D759" s="13"/>
      <c r="E759" s="13"/>
    </row>
    <row r="760" spans="4:5" ht="13.5" customHeight="1" x14ac:dyDescent="0.3">
      <c r="D760" s="13"/>
      <c r="E760" s="13"/>
    </row>
    <row r="761" spans="4:5" ht="13.5" customHeight="1" x14ac:dyDescent="0.3">
      <c r="D761" s="13"/>
      <c r="E761" s="13"/>
    </row>
    <row r="762" spans="4:5" ht="13.5" customHeight="1" x14ac:dyDescent="0.3">
      <c r="D762" s="13"/>
      <c r="E762" s="13"/>
    </row>
    <row r="763" spans="4:5" ht="13.5" customHeight="1" x14ac:dyDescent="0.3">
      <c r="D763" s="13"/>
      <c r="E763" s="13"/>
    </row>
    <row r="764" spans="4:5" ht="13.5" customHeight="1" x14ac:dyDescent="0.3">
      <c r="D764" s="13"/>
      <c r="E764" s="13"/>
    </row>
    <row r="765" spans="4:5" ht="13.5" customHeight="1" x14ac:dyDescent="0.3">
      <c r="D765" s="13"/>
      <c r="E765" s="13"/>
    </row>
    <row r="766" spans="4:5" ht="13.5" customHeight="1" x14ac:dyDescent="0.3">
      <c r="D766" s="13"/>
      <c r="E766" s="13"/>
    </row>
    <row r="767" spans="4:5" ht="13.5" customHeight="1" x14ac:dyDescent="0.3">
      <c r="D767" s="13"/>
      <c r="E767" s="13"/>
    </row>
    <row r="768" spans="4:5" ht="13.5" customHeight="1" x14ac:dyDescent="0.3">
      <c r="D768" s="13"/>
      <c r="E768" s="13"/>
    </row>
    <row r="769" spans="4:5" ht="13.5" customHeight="1" x14ac:dyDescent="0.3">
      <c r="D769" s="13"/>
      <c r="E769" s="13"/>
    </row>
    <row r="770" spans="4:5" ht="13.5" customHeight="1" x14ac:dyDescent="0.3">
      <c r="D770" s="13"/>
      <c r="E770" s="13"/>
    </row>
    <row r="771" spans="4:5" ht="13.5" customHeight="1" x14ac:dyDescent="0.3">
      <c r="D771" s="13"/>
      <c r="E771" s="13"/>
    </row>
    <row r="772" spans="4:5" ht="13.5" customHeight="1" x14ac:dyDescent="0.3">
      <c r="D772" s="13"/>
      <c r="E772" s="13"/>
    </row>
    <row r="773" spans="4:5" ht="13.5" customHeight="1" x14ac:dyDescent="0.3">
      <c r="D773" s="13"/>
      <c r="E773" s="13"/>
    </row>
    <row r="774" spans="4:5" ht="13.5" customHeight="1" x14ac:dyDescent="0.3">
      <c r="D774" s="13"/>
      <c r="E774" s="13"/>
    </row>
    <row r="775" spans="4:5" ht="13.5" customHeight="1" x14ac:dyDescent="0.3">
      <c r="D775" s="13"/>
      <c r="E775" s="13"/>
    </row>
    <row r="776" spans="4:5" ht="13.5" customHeight="1" x14ac:dyDescent="0.3">
      <c r="D776" s="13"/>
      <c r="E776" s="13"/>
    </row>
    <row r="777" spans="4:5" ht="13.5" customHeight="1" x14ac:dyDescent="0.3">
      <c r="D777" s="13"/>
      <c r="E777" s="13"/>
    </row>
    <row r="778" spans="4:5" ht="13.5" customHeight="1" x14ac:dyDescent="0.3">
      <c r="D778" s="13"/>
      <c r="E778" s="13"/>
    </row>
    <row r="779" spans="4:5" ht="13.5" customHeight="1" x14ac:dyDescent="0.3">
      <c r="D779" s="13"/>
      <c r="E779" s="13"/>
    </row>
    <row r="780" spans="4:5" ht="13.5" customHeight="1" x14ac:dyDescent="0.3">
      <c r="D780" s="13"/>
      <c r="E780" s="13"/>
    </row>
    <row r="781" spans="4:5" ht="13.5" customHeight="1" x14ac:dyDescent="0.3">
      <c r="D781" s="13"/>
      <c r="E781" s="13"/>
    </row>
    <row r="782" spans="4:5" ht="13.5" customHeight="1" x14ac:dyDescent="0.3">
      <c r="D782" s="13"/>
      <c r="E782" s="13"/>
    </row>
    <row r="783" spans="4:5" ht="13.5" customHeight="1" x14ac:dyDescent="0.3">
      <c r="D783" s="13"/>
      <c r="E783" s="13"/>
    </row>
    <row r="784" spans="4:5" ht="13.5" customHeight="1" x14ac:dyDescent="0.3">
      <c r="D784" s="13"/>
      <c r="E784" s="13"/>
    </row>
    <row r="785" spans="4:5" ht="13.5" customHeight="1" x14ac:dyDescent="0.3">
      <c r="D785" s="13"/>
      <c r="E785" s="13"/>
    </row>
    <row r="786" spans="4:5" ht="13.5" customHeight="1" x14ac:dyDescent="0.3">
      <c r="D786" s="13"/>
      <c r="E786" s="13"/>
    </row>
    <row r="787" spans="4:5" ht="13.5" customHeight="1" x14ac:dyDescent="0.3">
      <c r="D787" s="13"/>
      <c r="E787" s="13"/>
    </row>
    <row r="788" spans="4:5" ht="13.5" customHeight="1" x14ac:dyDescent="0.3">
      <c r="D788" s="13"/>
      <c r="E788" s="13"/>
    </row>
    <row r="789" spans="4:5" ht="13.5" customHeight="1" x14ac:dyDescent="0.3">
      <c r="D789" s="13"/>
      <c r="E789" s="13"/>
    </row>
    <row r="790" spans="4:5" ht="13.5" customHeight="1" x14ac:dyDescent="0.3">
      <c r="D790" s="13"/>
      <c r="E790" s="13"/>
    </row>
    <row r="791" spans="4:5" ht="13.5" customHeight="1" x14ac:dyDescent="0.3">
      <c r="D791" s="13"/>
      <c r="E791" s="13"/>
    </row>
    <row r="792" spans="4:5" ht="13.5" customHeight="1" x14ac:dyDescent="0.3">
      <c r="D792" s="13"/>
      <c r="E792" s="13"/>
    </row>
    <row r="793" spans="4:5" ht="13.5" customHeight="1" x14ac:dyDescent="0.3">
      <c r="D793" s="13"/>
      <c r="E793" s="13"/>
    </row>
    <row r="794" spans="4:5" ht="13.5" customHeight="1" x14ac:dyDescent="0.3">
      <c r="D794" s="13"/>
      <c r="E794" s="13"/>
    </row>
    <row r="795" spans="4:5" ht="13.5" customHeight="1" x14ac:dyDescent="0.3">
      <c r="D795" s="13"/>
      <c r="E795" s="13"/>
    </row>
    <row r="796" spans="4:5" ht="13.5" customHeight="1" x14ac:dyDescent="0.3">
      <c r="D796" s="13"/>
      <c r="E796" s="13"/>
    </row>
    <row r="797" spans="4:5" ht="13.5" customHeight="1" x14ac:dyDescent="0.3">
      <c r="D797" s="13"/>
      <c r="E797" s="13"/>
    </row>
    <row r="798" spans="4:5" ht="13.5" customHeight="1" x14ac:dyDescent="0.3">
      <c r="D798" s="13"/>
      <c r="E798" s="13"/>
    </row>
    <row r="799" spans="4:5" ht="13.5" customHeight="1" x14ac:dyDescent="0.3">
      <c r="D799" s="13"/>
      <c r="E799" s="13"/>
    </row>
    <row r="800" spans="4:5" ht="13.5" customHeight="1" x14ac:dyDescent="0.3">
      <c r="D800" s="13"/>
      <c r="E800" s="13"/>
    </row>
    <row r="801" spans="4:5" ht="13.5" customHeight="1" x14ac:dyDescent="0.3">
      <c r="D801" s="13"/>
      <c r="E801" s="13"/>
    </row>
    <row r="802" spans="4:5" ht="13.5" customHeight="1" x14ac:dyDescent="0.3">
      <c r="D802" s="13"/>
      <c r="E802" s="13"/>
    </row>
    <row r="803" spans="4:5" ht="13.5" customHeight="1" x14ac:dyDescent="0.3">
      <c r="D803" s="13"/>
      <c r="E803" s="13"/>
    </row>
    <row r="804" spans="4:5" ht="13.5" customHeight="1" x14ac:dyDescent="0.3">
      <c r="D804" s="13"/>
      <c r="E804" s="13"/>
    </row>
    <row r="805" spans="4:5" ht="13.5" customHeight="1" x14ac:dyDescent="0.3">
      <c r="D805" s="13"/>
      <c r="E805" s="13"/>
    </row>
    <row r="806" spans="4:5" ht="13.5" customHeight="1" x14ac:dyDescent="0.3">
      <c r="D806" s="13"/>
      <c r="E806" s="13"/>
    </row>
    <row r="807" spans="4:5" ht="13.5" customHeight="1" x14ac:dyDescent="0.3">
      <c r="D807" s="13"/>
      <c r="E807" s="13"/>
    </row>
    <row r="808" spans="4:5" ht="13.5" customHeight="1" x14ac:dyDescent="0.3">
      <c r="D808" s="13"/>
      <c r="E808" s="13"/>
    </row>
    <row r="809" spans="4:5" ht="13.5" customHeight="1" x14ac:dyDescent="0.3">
      <c r="D809" s="13"/>
      <c r="E809" s="13"/>
    </row>
    <row r="810" spans="4:5" ht="13.5" customHeight="1" x14ac:dyDescent="0.3">
      <c r="D810" s="13"/>
      <c r="E810" s="13"/>
    </row>
    <row r="811" spans="4:5" ht="13.5" customHeight="1" x14ac:dyDescent="0.3">
      <c r="D811" s="13"/>
      <c r="E811" s="13"/>
    </row>
    <row r="812" spans="4:5" ht="13.5" customHeight="1" x14ac:dyDescent="0.3">
      <c r="D812" s="13"/>
      <c r="E812" s="13"/>
    </row>
    <row r="813" spans="4:5" ht="13.5" customHeight="1" x14ac:dyDescent="0.3">
      <c r="D813" s="13"/>
      <c r="E813" s="13"/>
    </row>
    <row r="814" spans="4:5" ht="13.5" customHeight="1" x14ac:dyDescent="0.3">
      <c r="D814" s="13"/>
      <c r="E814" s="13"/>
    </row>
    <row r="815" spans="4:5" ht="13.5" customHeight="1" x14ac:dyDescent="0.3">
      <c r="D815" s="13"/>
      <c r="E815" s="13"/>
    </row>
    <row r="816" spans="4:5" ht="13.5" customHeight="1" x14ac:dyDescent="0.3">
      <c r="D816" s="13"/>
      <c r="E816" s="13"/>
    </row>
    <row r="817" spans="4:5" ht="13.5" customHeight="1" x14ac:dyDescent="0.3">
      <c r="D817" s="13"/>
      <c r="E817" s="13"/>
    </row>
    <row r="818" spans="4:5" ht="13.5" customHeight="1" x14ac:dyDescent="0.3">
      <c r="D818" s="13"/>
      <c r="E818" s="13"/>
    </row>
    <row r="819" spans="4:5" ht="13.5" customHeight="1" x14ac:dyDescent="0.3">
      <c r="D819" s="13"/>
      <c r="E819" s="13"/>
    </row>
    <row r="820" spans="4:5" ht="13.5" customHeight="1" x14ac:dyDescent="0.3">
      <c r="D820" s="13"/>
      <c r="E820" s="13"/>
    </row>
    <row r="821" spans="4:5" ht="13.5" customHeight="1" x14ac:dyDescent="0.3">
      <c r="D821" s="13"/>
      <c r="E821" s="13"/>
    </row>
    <row r="822" spans="4:5" ht="13.5" customHeight="1" x14ac:dyDescent="0.3">
      <c r="D822" s="13"/>
      <c r="E822" s="13"/>
    </row>
    <row r="823" spans="4:5" ht="13.5" customHeight="1" x14ac:dyDescent="0.3">
      <c r="D823" s="13"/>
      <c r="E823" s="13"/>
    </row>
    <row r="824" spans="4:5" ht="13.5" customHeight="1" x14ac:dyDescent="0.3">
      <c r="D824" s="13"/>
      <c r="E824" s="13"/>
    </row>
    <row r="825" spans="4:5" ht="13.5" customHeight="1" x14ac:dyDescent="0.3">
      <c r="D825" s="13"/>
      <c r="E825" s="13"/>
    </row>
    <row r="826" spans="4:5" ht="13.5" customHeight="1" x14ac:dyDescent="0.3">
      <c r="D826" s="13"/>
      <c r="E826" s="13"/>
    </row>
    <row r="827" spans="4:5" ht="13.5" customHeight="1" x14ac:dyDescent="0.3">
      <c r="D827" s="13"/>
      <c r="E827" s="13"/>
    </row>
    <row r="828" spans="4:5" ht="13.5" customHeight="1" x14ac:dyDescent="0.3">
      <c r="D828" s="13"/>
      <c r="E828" s="13"/>
    </row>
    <row r="829" spans="4:5" ht="13.5" customHeight="1" x14ac:dyDescent="0.3">
      <c r="D829" s="13"/>
      <c r="E829" s="13"/>
    </row>
    <row r="830" spans="4:5" ht="13.5" customHeight="1" x14ac:dyDescent="0.3">
      <c r="D830" s="13"/>
      <c r="E830" s="13"/>
    </row>
    <row r="831" spans="4:5" ht="13.5" customHeight="1" x14ac:dyDescent="0.3">
      <c r="D831" s="13"/>
      <c r="E831" s="13"/>
    </row>
    <row r="832" spans="4:5" ht="13.5" customHeight="1" x14ac:dyDescent="0.3">
      <c r="D832" s="13"/>
      <c r="E832" s="13"/>
    </row>
    <row r="833" spans="4:5" ht="13.5" customHeight="1" x14ac:dyDescent="0.3">
      <c r="D833" s="13"/>
      <c r="E833" s="13"/>
    </row>
    <row r="834" spans="4:5" ht="13.5" customHeight="1" x14ac:dyDescent="0.3">
      <c r="D834" s="13"/>
      <c r="E834" s="13"/>
    </row>
    <row r="835" spans="4:5" ht="13.5" customHeight="1" x14ac:dyDescent="0.3">
      <c r="D835" s="13"/>
      <c r="E835" s="13"/>
    </row>
    <row r="836" spans="4:5" ht="13.5" customHeight="1" x14ac:dyDescent="0.3">
      <c r="D836" s="13"/>
      <c r="E836" s="13"/>
    </row>
    <row r="837" spans="4:5" ht="13.5" customHeight="1" x14ac:dyDescent="0.3">
      <c r="D837" s="13"/>
      <c r="E837" s="13"/>
    </row>
    <row r="838" spans="4:5" ht="13.5" customHeight="1" x14ac:dyDescent="0.3">
      <c r="D838" s="13"/>
      <c r="E838" s="13"/>
    </row>
    <row r="839" spans="4:5" ht="13.5" customHeight="1" x14ac:dyDescent="0.3">
      <c r="D839" s="13"/>
      <c r="E839" s="13"/>
    </row>
    <row r="840" spans="4:5" ht="13.5" customHeight="1" x14ac:dyDescent="0.3">
      <c r="D840" s="13"/>
      <c r="E840" s="13"/>
    </row>
    <row r="841" spans="4:5" ht="13.5" customHeight="1" x14ac:dyDescent="0.3">
      <c r="D841" s="13"/>
      <c r="E841" s="13"/>
    </row>
    <row r="842" spans="4:5" ht="13.5" customHeight="1" x14ac:dyDescent="0.3">
      <c r="D842" s="13"/>
      <c r="E842" s="13"/>
    </row>
    <row r="843" spans="4:5" ht="13.5" customHeight="1" x14ac:dyDescent="0.3">
      <c r="D843" s="13"/>
      <c r="E843" s="13"/>
    </row>
    <row r="844" spans="4:5" ht="13.5" customHeight="1" x14ac:dyDescent="0.3">
      <c r="D844" s="13"/>
      <c r="E844" s="13"/>
    </row>
    <row r="845" spans="4:5" ht="13.5" customHeight="1" x14ac:dyDescent="0.3">
      <c r="D845" s="13"/>
      <c r="E845" s="13"/>
    </row>
    <row r="846" spans="4:5" ht="13.5" customHeight="1" x14ac:dyDescent="0.3">
      <c r="D846" s="13"/>
      <c r="E846" s="13"/>
    </row>
    <row r="847" spans="4:5" ht="13.5" customHeight="1" x14ac:dyDescent="0.3">
      <c r="D847" s="13"/>
      <c r="E847" s="13"/>
    </row>
    <row r="848" spans="4:5" ht="13.5" customHeight="1" x14ac:dyDescent="0.3">
      <c r="D848" s="13"/>
      <c r="E848" s="13"/>
    </row>
    <row r="849" spans="4:5" ht="13.5" customHeight="1" x14ac:dyDescent="0.3">
      <c r="D849" s="13"/>
      <c r="E849" s="13"/>
    </row>
    <row r="850" spans="4:5" ht="13.5" customHeight="1" x14ac:dyDescent="0.3">
      <c r="D850" s="13"/>
      <c r="E850" s="13"/>
    </row>
    <row r="851" spans="4:5" ht="13.5" customHeight="1" x14ac:dyDescent="0.3">
      <c r="D851" s="13"/>
      <c r="E851" s="13"/>
    </row>
    <row r="852" spans="4:5" ht="13.5" customHeight="1" x14ac:dyDescent="0.3">
      <c r="D852" s="13"/>
      <c r="E852" s="13"/>
    </row>
    <row r="853" spans="4:5" ht="13.5" customHeight="1" x14ac:dyDescent="0.3">
      <c r="D853" s="13"/>
      <c r="E853" s="13"/>
    </row>
    <row r="854" spans="4:5" ht="13.5" customHeight="1" x14ac:dyDescent="0.3">
      <c r="D854" s="13"/>
      <c r="E854" s="13"/>
    </row>
    <row r="855" spans="4:5" ht="13.5" customHeight="1" x14ac:dyDescent="0.3">
      <c r="D855" s="13"/>
      <c r="E855" s="13"/>
    </row>
    <row r="856" spans="4:5" ht="13.5" customHeight="1" x14ac:dyDescent="0.3">
      <c r="D856" s="13"/>
      <c r="E856" s="13"/>
    </row>
    <row r="857" spans="4:5" ht="13.5" customHeight="1" x14ac:dyDescent="0.3">
      <c r="D857" s="13"/>
      <c r="E857" s="13"/>
    </row>
    <row r="858" spans="4:5" ht="13.5" customHeight="1" x14ac:dyDescent="0.3">
      <c r="D858" s="13"/>
      <c r="E858" s="13"/>
    </row>
    <row r="859" spans="4:5" ht="13.5" customHeight="1" x14ac:dyDescent="0.3">
      <c r="D859" s="13"/>
      <c r="E859" s="13"/>
    </row>
    <row r="860" spans="4:5" ht="13.5" customHeight="1" x14ac:dyDescent="0.3">
      <c r="D860" s="13"/>
      <c r="E860" s="13"/>
    </row>
    <row r="861" spans="4:5" ht="13.5" customHeight="1" x14ac:dyDescent="0.3">
      <c r="D861" s="13"/>
      <c r="E861" s="13"/>
    </row>
    <row r="862" spans="4:5" ht="13.5" customHeight="1" x14ac:dyDescent="0.3">
      <c r="D862" s="13"/>
      <c r="E862" s="13"/>
    </row>
    <row r="863" spans="4:5" ht="13.5" customHeight="1" x14ac:dyDescent="0.3">
      <c r="D863" s="13"/>
      <c r="E863" s="13"/>
    </row>
    <row r="864" spans="4:5" ht="13.5" customHeight="1" x14ac:dyDescent="0.3">
      <c r="D864" s="13"/>
      <c r="E864" s="13"/>
    </row>
    <row r="865" spans="4:5" ht="13.5" customHeight="1" x14ac:dyDescent="0.3">
      <c r="D865" s="13"/>
      <c r="E865" s="13"/>
    </row>
    <row r="866" spans="4:5" ht="13.5" customHeight="1" x14ac:dyDescent="0.3">
      <c r="D866" s="13"/>
      <c r="E866" s="13"/>
    </row>
    <row r="867" spans="4:5" ht="13.5" customHeight="1" x14ac:dyDescent="0.3">
      <c r="D867" s="13"/>
      <c r="E867" s="13"/>
    </row>
    <row r="868" spans="4:5" ht="13.5" customHeight="1" x14ac:dyDescent="0.3">
      <c r="D868" s="13"/>
      <c r="E868" s="13"/>
    </row>
    <row r="869" spans="4:5" ht="13.5" customHeight="1" x14ac:dyDescent="0.3">
      <c r="D869" s="13"/>
      <c r="E869" s="13"/>
    </row>
    <row r="870" spans="4:5" ht="13.5" customHeight="1" x14ac:dyDescent="0.3">
      <c r="D870" s="13"/>
      <c r="E870" s="13"/>
    </row>
    <row r="871" spans="4:5" ht="13.5" customHeight="1" x14ac:dyDescent="0.3">
      <c r="D871" s="13"/>
      <c r="E871" s="13"/>
    </row>
    <row r="872" spans="4:5" ht="13.5" customHeight="1" x14ac:dyDescent="0.3">
      <c r="D872" s="13"/>
      <c r="E872" s="13"/>
    </row>
    <row r="873" spans="4:5" ht="13.5" customHeight="1" x14ac:dyDescent="0.3">
      <c r="D873" s="13"/>
      <c r="E873" s="13"/>
    </row>
    <row r="874" spans="4:5" ht="13.5" customHeight="1" x14ac:dyDescent="0.3">
      <c r="D874" s="13"/>
      <c r="E874" s="13"/>
    </row>
    <row r="875" spans="4:5" ht="13.5" customHeight="1" x14ac:dyDescent="0.3">
      <c r="D875" s="13"/>
      <c r="E875" s="13"/>
    </row>
    <row r="876" spans="4:5" ht="13.5" customHeight="1" x14ac:dyDescent="0.3">
      <c r="D876" s="13"/>
      <c r="E876" s="13"/>
    </row>
    <row r="877" spans="4:5" ht="13.5" customHeight="1" x14ac:dyDescent="0.3">
      <c r="D877" s="13"/>
      <c r="E877" s="13"/>
    </row>
    <row r="878" spans="4:5" ht="13.5" customHeight="1" x14ac:dyDescent="0.3">
      <c r="D878" s="13"/>
      <c r="E878" s="13"/>
    </row>
    <row r="879" spans="4:5" ht="13.5" customHeight="1" x14ac:dyDescent="0.3">
      <c r="D879" s="13"/>
      <c r="E879" s="13"/>
    </row>
    <row r="880" spans="4:5" ht="13.5" customHeight="1" x14ac:dyDescent="0.3">
      <c r="D880" s="13"/>
      <c r="E880" s="13"/>
    </row>
    <row r="881" spans="4:5" ht="13.5" customHeight="1" x14ac:dyDescent="0.3">
      <c r="D881" s="13"/>
      <c r="E881" s="13"/>
    </row>
    <row r="882" spans="4:5" ht="13.5" customHeight="1" x14ac:dyDescent="0.3">
      <c r="D882" s="13"/>
      <c r="E882" s="13"/>
    </row>
    <row r="883" spans="4:5" ht="13.5" customHeight="1" x14ac:dyDescent="0.3">
      <c r="D883" s="13"/>
      <c r="E883" s="13"/>
    </row>
    <row r="884" spans="4:5" ht="13.5" customHeight="1" x14ac:dyDescent="0.3">
      <c r="D884" s="13"/>
      <c r="E884" s="13"/>
    </row>
    <row r="885" spans="4:5" ht="13.5" customHeight="1" x14ac:dyDescent="0.3">
      <c r="D885" s="13"/>
      <c r="E885" s="13"/>
    </row>
    <row r="886" spans="4:5" ht="13.5" customHeight="1" x14ac:dyDescent="0.3">
      <c r="D886" s="13"/>
      <c r="E886" s="13"/>
    </row>
    <row r="887" spans="4:5" ht="13.5" customHeight="1" x14ac:dyDescent="0.3">
      <c r="D887" s="13"/>
      <c r="E887" s="13"/>
    </row>
    <row r="888" spans="4:5" ht="13.5" customHeight="1" x14ac:dyDescent="0.3">
      <c r="D888" s="13"/>
      <c r="E888" s="13"/>
    </row>
    <row r="889" spans="4:5" ht="13.5" customHeight="1" x14ac:dyDescent="0.3">
      <c r="D889" s="13"/>
      <c r="E889" s="13"/>
    </row>
    <row r="890" spans="4:5" ht="13.5" customHeight="1" x14ac:dyDescent="0.3">
      <c r="D890" s="13"/>
      <c r="E890" s="13"/>
    </row>
    <row r="891" spans="4:5" ht="13.5" customHeight="1" x14ac:dyDescent="0.3">
      <c r="D891" s="13"/>
      <c r="E891" s="13"/>
    </row>
    <row r="892" spans="4:5" ht="13.5" customHeight="1" x14ac:dyDescent="0.3">
      <c r="D892" s="13"/>
      <c r="E892" s="13"/>
    </row>
    <row r="893" spans="4:5" ht="13.5" customHeight="1" x14ac:dyDescent="0.3">
      <c r="D893" s="13"/>
      <c r="E893" s="13"/>
    </row>
    <row r="894" spans="4:5" ht="13.5" customHeight="1" x14ac:dyDescent="0.3">
      <c r="D894" s="13"/>
      <c r="E894" s="13"/>
    </row>
    <row r="895" spans="4:5" ht="13.5" customHeight="1" x14ac:dyDescent="0.3">
      <c r="D895" s="13"/>
      <c r="E895" s="13"/>
    </row>
    <row r="896" spans="4:5" ht="13.5" customHeight="1" x14ac:dyDescent="0.3">
      <c r="D896" s="13"/>
      <c r="E896" s="13"/>
    </row>
    <row r="897" spans="4:5" ht="13.5" customHeight="1" x14ac:dyDescent="0.3">
      <c r="D897" s="13"/>
      <c r="E897" s="13"/>
    </row>
    <row r="898" spans="4:5" ht="13.5" customHeight="1" x14ac:dyDescent="0.3">
      <c r="D898" s="13"/>
      <c r="E898" s="13"/>
    </row>
    <row r="899" spans="4:5" ht="13.5" customHeight="1" x14ac:dyDescent="0.3">
      <c r="D899" s="13"/>
      <c r="E899" s="13"/>
    </row>
    <row r="900" spans="4:5" ht="13.5" customHeight="1" x14ac:dyDescent="0.3">
      <c r="D900" s="13"/>
      <c r="E900" s="13"/>
    </row>
    <row r="901" spans="4:5" ht="13.5" customHeight="1" x14ac:dyDescent="0.3">
      <c r="D901" s="13"/>
      <c r="E901" s="13"/>
    </row>
    <row r="902" spans="4:5" ht="13.5" customHeight="1" x14ac:dyDescent="0.3">
      <c r="D902" s="13"/>
      <c r="E902" s="13"/>
    </row>
    <row r="903" spans="4:5" ht="13.5" customHeight="1" x14ac:dyDescent="0.3">
      <c r="D903" s="13"/>
      <c r="E903" s="13"/>
    </row>
    <row r="904" spans="4:5" ht="13.5" customHeight="1" x14ac:dyDescent="0.3">
      <c r="D904" s="13"/>
      <c r="E904" s="13"/>
    </row>
    <row r="905" spans="4:5" ht="13.5" customHeight="1" x14ac:dyDescent="0.3">
      <c r="D905" s="13"/>
      <c r="E905" s="13"/>
    </row>
    <row r="906" spans="4:5" ht="13.5" customHeight="1" x14ac:dyDescent="0.3">
      <c r="D906" s="13"/>
      <c r="E906" s="13"/>
    </row>
    <row r="907" spans="4:5" ht="13.5" customHeight="1" x14ac:dyDescent="0.3">
      <c r="D907" s="13"/>
      <c r="E907" s="13"/>
    </row>
    <row r="908" spans="4:5" ht="13.5" customHeight="1" x14ac:dyDescent="0.3">
      <c r="D908" s="13"/>
      <c r="E908" s="13"/>
    </row>
    <row r="909" spans="4:5" ht="13.5" customHeight="1" x14ac:dyDescent="0.3">
      <c r="D909" s="13"/>
      <c r="E909" s="13"/>
    </row>
    <row r="910" spans="4:5" ht="13.5" customHeight="1" x14ac:dyDescent="0.3">
      <c r="D910" s="13"/>
      <c r="E910" s="13"/>
    </row>
    <row r="911" spans="4:5" ht="13.5" customHeight="1" x14ac:dyDescent="0.3">
      <c r="D911" s="13"/>
      <c r="E911" s="13"/>
    </row>
    <row r="912" spans="4:5" ht="13.5" customHeight="1" x14ac:dyDescent="0.3">
      <c r="D912" s="13"/>
      <c r="E912" s="13"/>
    </row>
    <row r="913" spans="4:5" ht="13.5" customHeight="1" x14ac:dyDescent="0.3">
      <c r="D913" s="13"/>
      <c r="E913" s="13"/>
    </row>
    <row r="914" spans="4:5" ht="13.5" customHeight="1" x14ac:dyDescent="0.3">
      <c r="D914" s="13"/>
      <c r="E914" s="13"/>
    </row>
    <row r="915" spans="4:5" ht="13.5" customHeight="1" x14ac:dyDescent="0.3">
      <c r="D915" s="13"/>
      <c r="E915" s="13"/>
    </row>
    <row r="916" spans="4:5" ht="13.5" customHeight="1" x14ac:dyDescent="0.3">
      <c r="D916" s="13"/>
      <c r="E916" s="13"/>
    </row>
    <row r="917" spans="4:5" ht="13.5" customHeight="1" x14ac:dyDescent="0.3">
      <c r="D917" s="13"/>
      <c r="E917" s="13"/>
    </row>
    <row r="918" spans="4:5" ht="13.5" customHeight="1" x14ac:dyDescent="0.3">
      <c r="D918" s="13"/>
      <c r="E918" s="13"/>
    </row>
    <row r="919" spans="4:5" ht="13.5" customHeight="1" x14ac:dyDescent="0.3">
      <c r="D919" s="13"/>
      <c r="E919" s="13"/>
    </row>
    <row r="920" spans="4:5" ht="13.5" customHeight="1" x14ac:dyDescent="0.3">
      <c r="D920" s="13"/>
      <c r="E920" s="13"/>
    </row>
    <row r="921" spans="4:5" ht="13.5" customHeight="1" x14ac:dyDescent="0.3">
      <c r="D921" s="13"/>
      <c r="E921" s="13"/>
    </row>
    <row r="922" spans="4:5" ht="13.5" customHeight="1" x14ac:dyDescent="0.3">
      <c r="D922" s="13"/>
      <c r="E922" s="13"/>
    </row>
    <row r="923" spans="4:5" ht="13.5" customHeight="1" x14ac:dyDescent="0.3">
      <c r="D923" s="13"/>
      <c r="E923" s="13"/>
    </row>
    <row r="924" spans="4:5" ht="13.5" customHeight="1" x14ac:dyDescent="0.3">
      <c r="D924" s="13"/>
      <c r="E924" s="13"/>
    </row>
    <row r="925" spans="4:5" ht="13.5" customHeight="1" x14ac:dyDescent="0.3">
      <c r="D925" s="13"/>
      <c r="E925" s="13"/>
    </row>
    <row r="926" spans="4:5" ht="13.5" customHeight="1" x14ac:dyDescent="0.3">
      <c r="D926" s="13"/>
      <c r="E926" s="13"/>
    </row>
    <row r="927" spans="4:5" ht="13.5" customHeight="1" x14ac:dyDescent="0.3">
      <c r="D927" s="13"/>
      <c r="E927" s="13"/>
    </row>
    <row r="928" spans="4:5" ht="13.5" customHeight="1" x14ac:dyDescent="0.3">
      <c r="D928" s="13"/>
      <c r="E928" s="13"/>
    </row>
    <row r="929" spans="4:5" ht="13.5" customHeight="1" x14ac:dyDescent="0.3">
      <c r="D929" s="13"/>
      <c r="E929" s="13"/>
    </row>
    <row r="930" spans="4:5" ht="13.5" customHeight="1" x14ac:dyDescent="0.3">
      <c r="D930" s="13"/>
      <c r="E930" s="13"/>
    </row>
    <row r="931" spans="4:5" ht="13.5" customHeight="1" x14ac:dyDescent="0.3">
      <c r="D931" s="13"/>
      <c r="E931" s="13"/>
    </row>
    <row r="932" spans="4:5" ht="13.5" customHeight="1" x14ac:dyDescent="0.3">
      <c r="D932" s="13"/>
      <c r="E932" s="13"/>
    </row>
    <row r="933" spans="4:5" ht="13.5" customHeight="1" x14ac:dyDescent="0.3">
      <c r="D933" s="13"/>
      <c r="E933" s="13"/>
    </row>
    <row r="934" spans="4:5" ht="13.5" customHeight="1" x14ac:dyDescent="0.3">
      <c r="D934" s="13"/>
      <c r="E934" s="13"/>
    </row>
    <row r="935" spans="4:5" ht="13.5" customHeight="1" x14ac:dyDescent="0.3">
      <c r="D935" s="13"/>
      <c r="E935" s="13"/>
    </row>
    <row r="936" spans="4:5" ht="13.5" customHeight="1" x14ac:dyDescent="0.3">
      <c r="D936" s="13"/>
      <c r="E936" s="13"/>
    </row>
    <row r="937" spans="4:5" ht="13.5" customHeight="1" x14ac:dyDescent="0.3">
      <c r="D937" s="13"/>
      <c r="E937" s="13"/>
    </row>
    <row r="938" spans="4:5" ht="13.5" customHeight="1" x14ac:dyDescent="0.3">
      <c r="D938" s="13"/>
      <c r="E938" s="13"/>
    </row>
    <row r="939" spans="4:5" ht="13.5" customHeight="1" x14ac:dyDescent="0.3">
      <c r="D939" s="13"/>
      <c r="E939" s="13"/>
    </row>
    <row r="940" spans="4:5" ht="13.5" customHeight="1" x14ac:dyDescent="0.3">
      <c r="D940" s="13"/>
      <c r="E940" s="13"/>
    </row>
    <row r="941" spans="4:5" ht="13.5" customHeight="1" x14ac:dyDescent="0.3">
      <c r="D941" s="13"/>
      <c r="E941" s="13"/>
    </row>
    <row r="942" spans="4:5" ht="13.5" customHeight="1" x14ac:dyDescent="0.3">
      <c r="D942" s="13"/>
      <c r="E942" s="13"/>
    </row>
    <row r="943" spans="4:5" ht="13.5" customHeight="1" x14ac:dyDescent="0.3">
      <c r="D943" s="13"/>
      <c r="E943" s="13"/>
    </row>
    <row r="944" spans="4:5" ht="13.5" customHeight="1" x14ac:dyDescent="0.3">
      <c r="D944" s="13"/>
      <c r="E944" s="13"/>
    </row>
    <row r="945" spans="4:5" ht="13.5" customHeight="1" x14ac:dyDescent="0.3">
      <c r="D945" s="13"/>
      <c r="E945" s="13"/>
    </row>
    <row r="946" spans="4:5" ht="13.5" customHeight="1" x14ac:dyDescent="0.3">
      <c r="D946" s="13"/>
      <c r="E946" s="13"/>
    </row>
    <row r="947" spans="4:5" ht="13.5" customHeight="1" x14ac:dyDescent="0.3">
      <c r="D947" s="13"/>
      <c r="E947" s="13"/>
    </row>
    <row r="948" spans="4:5" ht="13.5" customHeight="1" x14ac:dyDescent="0.3">
      <c r="D948" s="13"/>
      <c r="E948" s="13"/>
    </row>
    <row r="949" spans="4:5" ht="13.5" customHeight="1" x14ac:dyDescent="0.3">
      <c r="D949" s="13"/>
      <c r="E949" s="13"/>
    </row>
    <row r="950" spans="4:5" ht="13.5" customHeight="1" x14ac:dyDescent="0.3">
      <c r="D950" s="13"/>
      <c r="E950" s="13"/>
    </row>
    <row r="951" spans="4:5" ht="13.5" customHeight="1" x14ac:dyDescent="0.3">
      <c r="D951" s="13"/>
      <c r="E951" s="13"/>
    </row>
    <row r="952" spans="4:5" ht="13.5" customHeight="1" x14ac:dyDescent="0.3">
      <c r="D952" s="13"/>
      <c r="E952" s="13"/>
    </row>
    <row r="953" spans="4:5" ht="13.5" customHeight="1" x14ac:dyDescent="0.3">
      <c r="D953" s="13"/>
      <c r="E953" s="13"/>
    </row>
    <row r="954" spans="4:5" ht="13.5" customHeight="1" x14ac:dyDescent="0.3">
      <c r="D954" s="13"/>
      <c r="E954" s="13"/>
    </row>
    <row r="955" spans="4:5" ht="13.5" customHeight="1" x14ac:dyDescent="0.3">
      <c r="D955" s="13"/>
      <c r="E955" s="13"/>
    </row>
    <row r="956" spans="4:5" ht="13.5" customHeight="1" x14ac:dyDescent="0.3">
      <c r="D956" s="13"/>
      <c r="E956" s="13"/>
    </row>
    <row r="957" spans="4:5" ht="13.5" customHeight="1" x14ac:dyDescent="0.3">
      <c r="D957" s="13"/>
      <c r="E957" s="13"/>
    </row>
    <row r="958" spans="4:5" ht="13.5" customHeight="1" x14ac:dyDescent="0.3">
      <c r="D958" s="13"/>
      <c r="E958" s="13"/>
    </row>
    <row r="959" spans="4:5" ht="13.5" customHeight="1" x14ac:dyDescent="0.3">
      <c r="D959" s="13"/>
      <c r="E959" s="13"/>
    </row>
    <row r="960" spans="4:5" ht="13.5" customHeight="1" x14ac:dyDescent="0.3">
      <c r="D960" s="13"/>
      <c r="E960" s="13"/>
    </row>
    <row r="961" spans="4:5" ht="13.5" customHeight="1" x14ac:dyDescent="0.3">
      <c r="D961" s="13"/>
      <c r="E961" s="13"/>
    </row>
    <row r="962" spans="4:5" ht="13.5" customHeight="1" x14ac:dyDescent="0.3">
      <c r="D962" s="13"/>
      <c r="E962" s="13"/>
    </row>
    <row r="963" spans="4:5" ht="13.5" customHeight="1" x14ac:dyDescent="0.3">
      <c r="D963" s="13"/>
      <c r="E963" s="13"/>
    </row>
    <row r="964" spans="4:5" ht="13.5" customHeight="1" x14ac:dyDescent="0.3">
      <c r="D964" s="13"/>
      <c r="E964" s="13"/>
    </row>
    <row r="965" spans="4:5" ht="13.5" customHeight="1" x14ac:dyDescent="0.3">
      <c r="D965" s="13"/>
      <c r="E965" s="13"/>
    </row>
    <row r="966" spans="4:5" ht="13.5" customHeight="1" x14ac:dyDescent="0.3">
      <c r="D966" s="13"/>
      <c r="E966" s="13"/>
    </row>
    <row r="967" spans="4:5" ht="13.5" customHeight="1" x14ac:dyDescent="0.3">
      <c r="D967" s="13"/>
      <c r="E967" s="13"/>
    </row>
    <row r="968" spans="4:5" ht="13.5" customHeight="1" x14ac:dyDescent="0.3">
      <c r="D968" s="13"/>
      <c r="E968" s="13"/>
    </row>
    <row r="969" spans="4:5" ht="13.5" customHeight="1" x14ac:dyDescent="0.3">
      <c r="D969" s="13"/>
      <c r="E969" s="13"/>
    </row>
    <row r="970" spans="4:5" ht="13.5" customHeight="1" x14ac:dyDescent="0.3">
      <c r="D970" s="13"/>
      <c r="E970" s="13"/>
    </row>
    <row r="971" spans="4:5" ht="13.5" customHeight="1" x14ac:dyDescent="0.3">
      <c r="D971" s="13"/>
      <c r="E971" s="13"/>
    </row>
    <row r="972" spans="4:5" ht="13.5" customHeight="1" x14ac:dyDescent="0.3">
      <c r="D972" s="13"/>
      <c r="E972" s="13"/>
    </row>
    <row r="973" spans="4:5" ht="13.5" customHeight="1" x14ac:dyDescent="0.3">
      <c r="D973" s="13"/>
      <c r="E973" s="13"/>
    </row>
    <row r="974" spans="4:5" ht="13.5" customHeight="1" x14ac:dyDescent="0.3">
      <c r="D974" s="13"/>
      <c r="E974" s="13"/>
    </row>
    <row r="975" spans="4:5" ht="13.5" customHeight="1" x14ac:dyDescent="0.3">
      <c r="D975" s="13"/>
      <c r="E975" s="13"/>
    </row>
    <row r="976" spans="4:5" ht="13.5" customHeight="1" x14ac:dyDescent="0.3">
      <c r="D976" s="13"/>
      <c r="E976" s="13"/>
    </row>
    <row r="977" spans="4:5" ht="13.5" customHeight="1" x14ac:dyDescent="0.3">
      <c r="D977" s="13"/>
      <c r="E977" s="13"/>
    </row>
    <row r="978" spans="4:5" ht="13.5" customHeight="1" x14ac:dyDescent="0.3">
      <c r="D978" s="13"/>
      <c r="E978" s="13"/>
    </row>
    <row r="979" spans="4:5" ht="13.5" customHeight="1" x14ac:dyDescent="0.3">
      <c r="D979" s="13"/>
      <c r="E979" s="13"/>
    </row>
    <row r="980" spans="4:5" ht="13.5" customHeight="1" x14ac:dyDescent="0.3">
      <c r="D980" s="13"/>
      <c r="E980" s="13"/>
    </row>
    <row r="981" spans="4:5" ht="13.5" customHeight="1" x14ac:dyDescent="0.3">
      <c r="D981" s="13"/>
      <c r="E981" s="13"/>
    </row>
    <row r="982" spans="4:5" ht="13.5" customHeight="1" x14ac:dyDescent="0.3">
      <c r="D982" s="13"/>
      <c r="E982" s="13"/>
    </row>
    <row r="983" spans="4:5" ht="13.5" customHeight="1" x14ac:dyDescent="0.3">
      <c r="D983" s="13"/>
      <c r="E983" s="13"/>
    </row>
    <row r="984" spans="4:5" ht="13.5" customHeight="1" x14ac:dyDescent="0.3">
      <c r="D984" s="13"/>
      <c r="E984" s="13"/>
    </row>
    <row r="985" spans="4:5" ht="13.5" customHeight="1" x14ac:dyDescent="0.3">
      <c r="D985" s="13"/>
      <c r="E985" s="13"/>
    </row>
    <row r="986" spans="4:5" ht="13.5" customHeight="1" x14ac:dyDescent="0.3">
      <c r="D986" s="13"/>
      <c r="E986" s="13"/>
    </row>
    <row r="987" spans="4:5" ht="13.5" customHeight="1" x14ac:dyDescent="0.3">
      <c r="D987" s="13"/>
      <c r="E987" s="13"/>
    </row>
    <row r="988" spans="4:5" ht="13.5" customHeight="1" x14ac:dyDescent="0.3">
      <c r="D988" s="13"/>
      <c r="E988" s="13"/>
    </row>
    <row r="989" spans="4:5" ht="13.5" customHeight="1" x14ac:dyDescent="0.3">
      <c r="D989" s="13"/>
      <c r="E989" s="13"/>
    </row>
    <row r="990" spans="4:5" ht="13.5" customHeight="1" x14ac:dyDescent="0.3">
      <c r="D990" s="13"/>
      <c r="E990" s="13"/>
    </row>
    <row r="991" spans="4:5" ht="13.5" customHeight="1" x14ac:dyDescent="0.3">
      <c r="D991" s="13"/>
      <c r="E991" s="13"/>
    </row>
    <row r="992" spans="4:5" ht="13.5" customHeight="1" x14ac:dyDescent="0.3">
      <c r="D992" s="13"/>
      <c r="E992" s="13"/>
    </row>
    <row r="993" spans="4:5" ht="13.5" customHeight="1" x14ac:dyDescent="0.3">
      <c r="D993" s="13"/>
      <c r="E993" s="13"/>
    </row>
    <row r="994" spans="4:5" ht="13.5" customHeight="1" x14ac:dyDescent="0.3">
      <c r="D994" s="13"/>
      <c r="E994" s="13"/>
    </row>
    <row r="995" spans="4:5" ht="13.5" customHeight="1" x14ac:dyDescent="0.3">
      <c r="D995" s="13"/>
      <c r="E995" s="13"/>
    </row>
    <row r="996" spans="4:5" ht="13.5" customHeight="1" x14ac:dyDescent="0.3">
      <c r="D996" s="13"/>
      <c r="E996" s="13"/>
    </row>
    <row r="997" spans="4:5" ht="13.5" customHeight="1" x14ac:dyDescent="0.3">
      <c r="D997" s="13"/>
      <c r="E997" s="13"/>
    </row>
    <row r="998" spans="4:5" ht="13.5" customHeight="1" x14ac:dyDescent="0.3">
      <c r="D998" s="13"/>
      <c r="E998" s="13"/>
    </row>
    <row r="999" spans="4:5" ht="13.5" customHeight="1" x14ac:dyDescent="0.3">
      <c r="D999" s="13"/>
      <c r="E999" s="13"/>
    </row>
    <row r="1000" spans="4:5" ht="13.5" customHeight="1" x14ac:dyDescent="0.3">
      <c r="D1000" s="13"/>
      <c r="E1000" s="13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Nomisma</cp:lastModifiedBy>
  <dcterms:created xsi:type="dcterms:W3CDTF">2005-04-12T12:35:30Z</dcterms:created>
  <dcterms:modified xsi:type="dcterms:W3CDTF">2026-02-15T17:09:12Z</dcterms:modified>
</cp:coreProperties>
</file>